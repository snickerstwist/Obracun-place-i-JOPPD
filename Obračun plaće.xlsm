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14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rva\OneDrive\Desktop\Obracun_place_JOPPD\"/>
    </mc:Choice>
  </mc:AlternateContent>
  <xr:revisionPtr revIDLastSave="0" documentId="13_ncr:1_{178F1221-007C-41F7-B605-019C67729EE4}" xr6:coauthVersionLast="47" xr6:coauthVersionMax="47" xr10:uidLastSave="{00000000-0000-0000-0000-000000000000}"/>
  <bookViews>
    <workbookView xWindow="-120" yWindow="-120" windowWidth="29040" windowHeight="15720" firstSheet="2" activeTab="2" xr2:uid="{4C0780B6-A586-4249-9DC7-DCCDFC325785}"/>
  </bookViews>
  <sheets>
    <sheet name="Helper" sheetId="2" state="hidden" r:id="rId1"/>
    <sheet name="Porezne stope" sheetId="4" state="hidden" r:id="rId2"/>
    <sheet name="Obracunski_sati" sheetId="3" r:id="rId3"/>
    <sheet name="Obračun bolovanja" sheetId="8" r:id="rId4"/>
    <sheet name="Kalkulacija plaće" sheetId="1" r:id="rId5"/>
  </sheets>
  <definedNames>
    <definedName name="_xleta.AND" hidden="1" xlm="1">#NAME?</definedName>
    <definedName name="_xleta.AVERAGEIF" hidden="1" xlm="1">#NAME?</definedName>
    <definedName name="_xleta.ISBLANK" hidden="1" xlm="1">#NAME?</definedName>
    <definedName name="_xleta.NA" hidden="1" xlm="1">#NAME?</definedName>
    <definedName name="_xleta.NOT" hidden="1" xlm="1">#NAME?</definedName>
    <definedName name="_xleta.NUMBERVALUE" hidden="1" xlm="1">#NAME?</definedName>
    <definedName name="_xleta.SHEET" hidden="1" xlm="1">#NAME?</definedName>
    <definedName name="_xlpm.a" hidden="1" xlm="1">#NAME?</definedName>
    <definedName name="_xlpm.ed" hidden="1" xlm="1">#NAME?</definedName>
    <definedName name="_xlpm.em" hidden="1" xlm="1">#NAME?</definedName>
    <definedName name="_xlpm.endDatumi" hidden="1" xlm="1">#NAME?</definedName>
    <definedName name="_xlpm.ey" hidden="1" xlm="1">#NAME?</definedName>
    <definedName name="_xlpm.n" hidden="1" xlm="1">#NAME?</definedName>
    <definedName name="_xlpm.r" hidden="1" xlm="1">#NAME?</definedName>
    <definedName name="_xlpm.sd" hidden="1" xlm="1">#NAME?</definedName>
    <definedName name="_xlpm.sm" hidden="1" xlm="1">#NAME?</definedName>
    <definedName name="_xlpm.startDatumi" hidden="1" xlm="1">#NAME?</definedName>
    <definedName name="_xlpm.statusi" hidden="1" xlm="1">#NAME?</definedName>
    <definedName name="_xlpm.sy" hidden="1" xlm="1">#NAME?</definedName>
    <definedName name="_xlpm.ukupnoDana" hidden="1" xlm="1">#NAME?</definedName>
    <definedName name="_xlpm.valjan" hidden="1" xlm="1">#NAME?</definedName>
    <definedName name="BRUTO">'Kalkulacija plaće'!$F$2</definedName>
    <definedName name="COUNT_HZZO_BOL">SUM(COUNTIF(Helper!$F$42:$F$72,{"HZZO(bol)"}))</definedName>
    <definedName name="COUNT_HZZO_NJEGA">SUM(COUNTIF(Helper!$F$42:$F$72,{"HZZO(njega)"}))</definedName>
    <definedName name="COUNT_HZZO_NJEGA_7">SUM(COUNTIF(Helper!$F$42:$F$72,{"HZZO(njega-7)"}))</definedName>
    <definedName name="COUNT_HZZO_OSTALO">SUM(COUNTIF(Helper!$F$42:$F$72,{"HZZO(njega)","HZZO(ozljeda)"}))</definedName>
    <definedName name="COUNT_HZZO_OZLJEDA">SUM(COUNTIF(Helper!$F$42:$F$72,{"HZZO(ozljeda)"}))</definedName>
    <definedName name="dani_do">OFFSET(Helper!$I$1,0,0,COUNTA(Helper!$I$1:$I$31),1)</definedName>
    <definedName name="dani_od">OFFSET(Helper!$H$1,0,0,COUNTA(Helper!$H$1:$H$31),1)</definedName>
    <definedName name="DOH">'Kalkulacija plaće'!$F$8</definedName>
    <definedName name="DOPR_IZ_PLAĆE">'Kalkulacija plaće'!$F$5</definedName>
    <definedName name="DOPR_NA_PLAĆU">'Kalkulacija plaće'!$F$17</definedName>
    <definedName name="GOD_OBR">Obracunski_sati!$B$2</definedName>
    <definedName name="HZZO_BOL">IFERROR(SUM_HZZO_BOL_SATI*'Obračun bolovanja'!$E$8,0)</definedName>
    <definedName name="HZZO_BOL_MJ_ODSTUPANJE">(MONTH(_xlfn.XLOOKUP("HZZO(bol)",Helper!$F$42:$F$72,Helper!$H$42:$H$72))-(MONTH(_xlfn.XLOOKUP("HZZO(bol)",Helper!$F$42:$F$72,Helper!$H$42:$H$72)-42)-2))</definedName>
    <definedName name="HZZO_BOL_MJ_ODSTUPANJE_NEUTVR_OSN">(MONTH(_xlfn.XLOOKUP("HZZO(bol)",Helper!$F$42:$F$72,Helper!$H$42:$H$72))-(MONTH(_xlfn.XLOOKUP("HZZO(bol)",Helper!$F$42:$F$72,Helper!$H$42:$H$72)-42)-1))</definedName>
    <definedName name="HZZO_LIMIT">995.45</definedName>
    <definedName name="HZZO_NJEGA">IFERROR(SUM_HZZO_NJEGA_SATI*('Obračun bolovanja'!$F$6/'Obračun bolovanja'!$F$7*0.7),0)</definedName>
    <definedName name="HZZO_NJEGA_7">IFERROR(SUM_HZZO_NJEGA_7_SATI*('Obračun bolovanja'!$F$6/'Obračun bolovanja'!$F$7),0)</definedName>
    <definedName name="MIO_I">'Kalkulacija plaće'!$F$6</definedName>
    <definedName name="MIO_II">'Kalkulacija plaće'!$F$7</definedName>
    <definedName name="MJ_FOND_SATI">Helper!$B$2:$B$25</definedName>
    <definedName name="MJ_OBR">Obracunski_sati!$C$2</definedName>
    <definedName name="MJ_OSN_NETO">546.59</definedName>
    <definedName name="MJESECI">Helper!$A$2:$A$25</definedName>
    <definedName name="NAJNIZA_MJ_OSN">_xlfn.LET( _xlpm.n,31, _xlpm.r,_xlfn.SEQUENCE(_xlpm.n,1,1,6), _xlpm.statusi,INDEX(Obracunski_sati!$C:$C,_xlpm.r), _xlpm.startDatumi,DATE(INDEX(Obracunski_sati!$B:$B,_xlpm.r+1),INDEX(Obracunski_sati!$C:$C,_xlpm.r+1),INDEX(Obracunski_sati!$D:$D,_xlpm.r+1)), _xlpm.endDatumi,DATE(INDEX(Obracunski_sati!$B:$B,_xlpm.r+2),INDEX(Obracunski_sati!$C:$C,_xlpm.r+2),INDEX(Obracunski_sati!$D:$D,_xlpm.r+2)), _xlpm.ukupnoDana,SUM(IF((_xlpm.statusi="Rad")+(_xlpm.statusi="Bolovanje")+(_xlpm.statusi="GO"),_xlpm.endDatumi+1-_xlpm.startDatumi,0)), _xlpm.ukupnoDana/DAY(EOMONTH(DATE(Obracunski_sati!$B$2,Obracunski_sati!$C$2,1),0))*683.24 )</definedName>
    <definedName name="NAKNADA_HZZO_BOL">IF(HZZO_LIMIT/TEK_FOND_SATI*SUM_HZZO_BOL_SATI&lt;HZZO_BOL,HZZO_LIMIT/TEK_FOND_SATI*SUM_HZZO_BOL_SATI,HZZO_BOL)</definedName>
    <definedName name="NAKNADA_HZZO_NJEGA">IF(HZZO_LIMIT/TEK_FOND_SATI*SUM_HZZO_NJEGA_SATI&lt;HZZO_NJEGA,HZZO_LIMIT/TEK_FOND_SATI*SUM_HZZO_NJEGA_SATI,HZZO_NJEGA)</definedName>
    <definedName name="NAKNADA_HZZO_NJEGA_7">IF(HZZO_LIMIT/TEK_FOND_SATI*SUM_HZZO_NJEGA_7_SATI&lt;HZZO_NJEGA_7,HZZO_LIMIT/TEK_FOND_SATI*SUM_HZZO_NJEGA_7_SATI,HZZO_NJEGA_7)</definedName>
    <definedName name="NAKNADA_HZZO_OZLJEDA">IFERROR(SUM_HZZO_OZLJEDA_SATI*'Obračun bolovanja'!$H$8,0)</definedName>
    <definedName name="NAKNADA_POSLODAVAC_BOL">IFERROR(_xlfn.XLOOKUP(DATE(GOD_OBR,MJ_OBR,1),'Obračun bolovanja'!$A$13:$A$36,'Obračun bolovanja'!$H$13:$H$36)*'Obračun bolovanja'!$C$8,0)</definedName>
    <definedName name="NETO">'Kalkulacija plaće'!$F$16</definedName>
    <definedName name="OSN_DOPR">'Kalkulacija plaće'!$F$3</definedName>
    <definedName name="OSN_NS">'Kalkulacija plaće'!$F$11</definedName>
    <definedName name="OSN_ODB">'Kalkulacija plaće'!$F$9</definedName>
    <definedName name="OSN_VS">'Kalkulacija plaće'!$F$12</definedName>
    <definedName name="PB">Helper!$D$2:$D$25</definedName>
    <definedName name="POR_DOH">'Kalkulacija plaće'!$F$13</definedName>
    <definedName name="POR_NS">'Kalkulacija plaće'!$F$14</definedName>
    <definedName name="POR_OSN">'Kalkulacija plaće'!$F$10</definedName>
    <definedName name="POR_VS">'Kalkulacija plaće'!$F$15</definedName>
    <definedName name="PROR_OSN">353.15</definedName>
    <definedName name="rad_vrste">Helper!$F$2:$F$10</definedName>
    <definedName name="SUM_BOL_PB">SUM(SUMIF(Helper!$F$42:$F$72,{"Bolovanje"},Helper!$G$42:$G$72))</definedName>
    <definedName name="SUM_BOL_SATI">SUM(SUMIF(Helper!$F$42:$F$72,{"Bolovanje"},Helper!$I$42:$I$72))</definedName>
    <definedName name="SUM_BRUTO" localSheetId="3">SUMIF(INDEX('Obračun bolovanja'!$A:$A,13+MONTH('Obračun bolovanja'!$C$3)+12*(YEAR('Obračun bolovanja'!$C$3)-2025)-'Obračun bolovanja'!$C$2-2):INDEX('Obračun bolovanja'!$A:$A,36),"&lt;="&amp;EDATE('Obračun bolovanja'!$C$3,-2),INDEX('Obračun bolovanja'!$B:$B,13+MONTH('Obračun bolovanja'!$C$3)+12*(YEAR('Obračun bolovanja'!$C$3)-2025)-'Obračun bolovanja'!$C$2-2):INDEX('Obračun bolovanja'!$B:$B,36))</definedName>
    <definedName name="SUM_GO_PB">SUM(SUMIF(Helper!$F$42:$F$72,{"GO"},Helper!$G$42:$G$72))</definedName>
    <definedName name="SUM_GO_SATI">SUM(SUMIF(Helper!$F$42:$F$72,{"GO"},Helper!$I$42:$I$72))-SUM(SUMIF(Helper!$F$42:$F$72,{"GO"},Helper!$G$42:$G$72))</definedName>
    <definedName name="SUM_HZZO_BOL_SATI">SUM(SUMIF(Helper!$F$42:$F$72,{"HZZO(bol)"},Helper!$I$42:$I$72))</definedName>
    <definedName name="SUM_HZZO_NJEGA_7_SATI">SUM(SUMIF(Helper!$F$42:$F$72,{"HZZO(njega-7)"},Helper!$I$42:$I$72))</definedName>
    <definedName name="SUM_HZZO_NJEGA_SATI">SUM(SUMIF(Helper!$F$42:$F$72,{"HZZO(njega)"},Helper!$I$42:$I$72))</definedName>
    <definedName name="SUM_HZZO_OSTALO_PB">SUM(SUMIF(Helper!$F$42:$F$72,{"HZZO(bol)","HZZO(njega)","HZZO(njega-7)","HZZO(ozljeda)"},Helper!$G$42:$G$72))</definedName>
    <definedName name="SUM_HZZO_OZLJEDA_SATI">SUM(SUMIF(Helper!$F$42:$F$72,{"HZZO(ozljeda)"},Helper!$I$42:$I$72))</definedName>
    <definedName name="SUM_HZZO_SATI">SUM(SUMIF(Helper!$F$42:$F$72,{"HZZO(bol)","HZZO(njega)","HZZO(njega-7)","HZZO(ozljeda)"},Helper!$I$42:$I$72))</definedName>
    <definedName name="SUM_NEMA_OBRACUNA_SATI">_xlfn.LET( _xlpm.n,3, _xlpm.r,_xlfn.SEQUENCE(_xlpm.n,1,1,6), SUMPRODUCT((INDEX(Obracunski_sati!$C:$C,_xlpm.r)="Nema obračuna")*INDEX(Obracunski_sati!$B:$B,_xlpm.r+3)) )</definedName>
    <definedName name="SUM_NETO_HZZO_BOL" localSheetId="3">SUMIF(INDEX('Obračun bolovanja'!$A:$A,13+MONTH('Obračun bolovanja'!$C$3)+12*(YEAR('Obračun bolovanja'!$C$3)-2025)-'Obračun bolovanja'!$C$2-HZZO_BOL_MJ_ODSTUPANJE):INDEX('Obračun bolovanja'!$A:$A,36),"&lt;="&amp;EDATE('Obračun bolovanja'!$C$3,-HZZO_BOL_MJ_ODSTUPANJE),INDEX('Obračun bolovanja'!$C:$C,13+MONTH('Obračun bolovanja'!$C$3)+12*(YEAR('Obračun bolovanja'!$C$3)-2025)-'Obračun bolovanja'!$C$2-HZZO_BOL_MJ_ODSTUPANJE):INDEX('Obračun bolovanja'!$C:$C,36))</definedName>
    <definedName name="SUM_NETO_HZZO_OSTALO" localSheetId="3">SUMIF(INDEX('Obračun bolovanja'!$A:$A,13+MONTH('Obračun bolovanja'!$C$3)+12*(YEAR('Obračun bolovanja'!$C$3)-2025)-'Obračun bolovanja'!$C$2-2):INDEX('Obračun bolovanja'!$A:$A,36),"&lt;="&amp;EDATE('Obračun bolovanja'!$C$3,-2),INDEX('Obračun bolovanja'!$C:$C,13+MONTH('Obračun bolovanja'!$C$3)+12*(YEAR('Obračun bolovanja'!$C$3)-2025)-'Obračun bolovanja'!$C$2-2):INDEX('Obračun bolovanja'!$C:$C,36))</definedName>
    <definedName name="SUM_RAD_PB">SUM(SUMIF(Helper!$F$42:$F$72,{"Rad"},Helper!$G$42:$G$72))</definedName>
    <definedName name="SUM_RAD_PB_GO_SATI">_xlfn.XLOOKUP(DATE(GOD_OBR,MJ_OBR,1),'Obračun bolovanja'!$A$13:$A$36,'Obračun bolovanja'!$D$13:$D$36+'Obračun bolovanja'!$F$13:$F$36+'Obračun bolovanja'!$G$13:$G$36)</definedName>
    <definedName name="SUM_RAD_SATI">SUM(SUMIF(Helper!$F$42:$F$72,{"Rad"},Helper!$I$42:$I$72))+SUM(SUMIF(Helper!$F$42:$F$72,{"GO"},Helper!$G$42:$G$72))</definedName>
    <definedName name="SUM_SATI_HZZO_BOL" localSheetId="3">SUMIF(INDEX('Obračun bolovanja'!$A:$A,13+MONTH('Obračun bolovanja'!$C$3)+12*(YEAR('Obračun bolovanja'!$C$3)-2025)-'Obračun bolovanja'!$C$2-HZZO_BOL_MJ_ODSTUPANJE):INDEX('Obračun bolovanja'!$A:$A,36),"&lt;="&amp;EDATE('Obračun bolovanja'!$C$3,-HZZO_BOL_MJ_ODSTUPANJE),INDEX('Obračun bolovanja'!$I:$I,13+MONTH('Obračun bolovanja'!$C$3)+12*(YEAR('Obračun bolovanja'!$C$3)-2025)-'Obračun bolovanja'!$C$2-HZZO_BOL_MJ_ODSTUPANJE):INDEX('Obračun bolovanja'!$I:$I,36))</definedName>
    <definedName name="SUM_SATI_POSL_HZZO_OSTALO" localSheetId="3">SUMIF(INDEX('Obračun bolovanja'!$A:$A,13+MONTH('Obračun bolovanja'!$C$3)+12*(YEAR('Obračun bolovanja'!$C$3)-2025)-'Obračun bolovanja'!$C$2-2):INDEX('Obračun bolovanja'!$A:$A,36),"&lt;="&amp;EDATE('Obračun bolovanja'!$C$3,-2),INDEX('Obračun bolovanja'!$I:$I,13+MONTH('Obračun bolovanja'!$C$3)+12*(YEAR('Obračun bolovanja'!$C$3)-2025)-'Obračun bolovanja'!$C$2-2):INDEX('Obračun bolovanja'!$I:$I,36))</definedName>
    <definedName name="TEK_FOND_SATI">_xlfn.XLOOKUP('Obračun bolovanja'!$C$3,Helper!$A$2:$A$25,Helper!$B$2:$B$25)</definedName>
    <definedName name="TROŠAK">'Kalkulacija plaće'!$F$18</definedName>
    <definedName name="UMANJ_DOPR">'Kalkulacija plaće'!$F$4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8" l="1"/>
  <c r="E4" i="8" a="1"/>
  <c r="H5" i="8" a="1"/>
  <c r="G5" i="8" a="1"/>
  <c r="F5" i="8" a="1"/>
  <c r="E5" i="8" a="1"/>
  <c r="C4" i="8" a="1"/>
  <c r="I47" i="2" a="1"/>
  <c r="I48" i="2" a="1"/>
  <c r="I49" i="2" a="1"/>
  <c r="I50" i="2" a="1"/>
  <c r="I51" i="2" a="1"/>
  <c r="I52" i="2" a="1"/>
  <c r="I53" i="2" a="1"/>
  <c r="I54" i="2" a="1"/>
  <c r="I55" i="2" a="1"/>
  <c r="I56" i="2" a="1"/>
  <c r="I57" i="2" a="1"/>
  <c r="I58" i="2" a="1"/>
  <c r="I59" i="2" a="1"/>
  <c r="I60" i="2" a="1"/>
  <c r="I61" i="2" a="1"/>
  <c r="I62" i="2" a="1"/>
  <c r="I63" i="2" a="1"/>
  <c r="I64" i="2" a="1"/>
  <c r="I65" i="2" a="1"/>
  <c r="I66" i="2" a="1"/>
  <c r="I67" i="2" a="1"/>
  <c r="I68" i="2" a="1"/>
  <c r="I69" i="2" a="1"/>
  <c r="I70" i="2" a="1"/>
  <c r="I71" i="2" a="1"/>
  <c r="I72" i="2" a="1"/>
  <c r="H46" i="2" a="1"/>
  <c r="H47" i="2" a="1"/>
  <c r="H48" i="2" a="1"/>
  <c r="H49" i="2" a="1"/>
  <c r="H50" i="2" a="1"/>
  <c r="H51" i="2" a="1"/>
  <c r="H52" i="2" a="1"/>
  <c r="H53" i="2" a="1"/>
  <c r="H54" i="2" a="1"/>
  <c r="H55" i="2" a="1"/>
  <c r="H56" i="2" a="1"/>
  <c r="H57" i="2" a="1"/>
  <c r="H58" i="2" a="1"/>
  <c r="H59" i="2" a="1"/>
  <c r="H60" i="2" a="1"/>
  <c r="H61" i="2" a="1"/>
  <c r="H62" i="2" a="1"/>
  <c r="H63" i="2" a="1"/>
  <c r="H64" i="2" a="1"/>
  <c r="H65" i="2" a="1"/>
  <c r="H66" i="2" a="1"/>
  <c r="H67" i="2" a="1"/>
  <c r="H68" i="2" a="1"/>
  <c r="H69" i="2" a="1"/>
  <c r="H70" i="2" a="1"/>
  <c r="H71" i="2" a="1"/>
  <c r="H72" i="2" a="1"/>
  <c r="H42" i="2" a="1"/>
  <c r="G47" i="2" a="1"/>
  <c r="G48" i="2" a="1"/>
  <c r="G49" i="2" a="1"/>
  <c r="G50" i="2" a="1"/>
  <c r="G51" i="2" a="1"/>
  <c r="G52" i="2" a="1"/>
  <c r="G53" i="2" a="1"/>
  <c r="G54" i="2" a="1"/>
  <c r="G55" i="2" a="1"/>
  <c r="G56" i="2" a="1"/>
  <c r="G57" i="2" a="1"/>
  <c r="G58" i="2" a="1"/>
  <c r="G59" i="2" a="1"/>
  <c r="G60" i="2" a="1"/>
  <c r="G61" i="2" a="1"/>
  <c r="G62" i="2" a="1"/>
  <c r="G63" i="2" a="1"/>
  <c r="G64" i="2" a="1"/>
  <c r="G65" i="2" a="1"/>
  <c r="G66" i="2" a="1"/>
  <c r="G67" i="2" a="1"/>
  <c r="G68" i="2" a="1"/>
  <c r="G69" i="2" a="1"/>
  <c r="G70" i="2" a="1"/>
  <c r="G71" i="2" a="1"/>
  <c r="G72" i="2" a="1"/>
  <c r="F43" i="2" a="1"/>
  <c r="F44" i="2" a="1"/>
  <c r="F45" i="2" a="1"/>
  <c r="F46" i="2" a="1"/>
  <c r="F47" i="2" a="1"/>
  <c r="F48" i="2" a="1"/>
  <c r="F49" i="2" a="1"/>
  <c r="F50" i="2" a="1"/>
  <c r="F51" i="2" a="1"/>
  <c r="F52" i="2" a="1"/>
  <c r="F53" i="2" a="1"/>
  <c r="F54" i="2" a="1"/>
  <c r="F55" i="2" a="1"/>
  <c r="F56" i="2" a="1"/>
  <c r="F57" i="2" a="1"/>
  <c r="F58" i="2" a="1"/>
  <c r="F59" i="2" a="1"/>
  <c r="F60" i="2" a="1"/>
  <c r="F61" i="2" a="1"/>
  <c r="F62" i="2" a="1"/>
  <c r="F63" i="2" a="1"/>
  <c r="F64" i="2" a="1"/>
  <c r="F65" i="2" a="1"/>
  <c r="F66" i="2" a="1"/>
  <c r="F67" i="2" a="1"/>
  <c r="F68" i="2" a="1"/>
  <c r="F69" i="2" a="1"/>
  <c r="F70" i="2" a="1"/>
  <c r="F71" i="2" a="1"/>
  <c r="F72" i="2" a="1"/>
  <c r="F42" i="2" a="1"/>
  <c r="C3" i="3"/>
  <c r="C14" i="8"/>
  <c r="C17" i="8"/>
  <c r="C18" i="8"/>
  <c r="C19" i="8"/>
  <c r="C20" i="8"/>
  <c r="B14" i="8"/>
  <c r="B17" i="8"/>
  <c r="B18" i="8"/>
  <c r="B19" i="8"/>
  <c r="B20" i="8"/>
  <c r="B3" i="3"/>
  <c r="G13" i="8" a="1"/>
  <c r="G13" i="8" s="1"/>
  <c r="J13" i="8" a="1"/>
  <c r="J13" i="8" s="1"/>
  <c r="H1" i="2" a="1"/>
  <c r="H14" i="8" a="1"/>
  <c r="H14" i="8" s="1"/>
  <c r="H17" i="8" a="1"/>
  <c r="H17" i="8" s="1"/>
  <c r="H18" i="8" a="1"/>
  <c r="H18" i="8" s="1"/>
  <c r="H24" i="8" a="1"/>
  <c r="H24" i="8" s="1"/>
  <c r="H25" i="8" a="1"/>
  <c r="H25" i="8" s="1"/>
  <c r="H26" i="8" a="1"/>
  <c r="H26" i="8" s="1"/>
  <c r="H27" i="8" a="1"/>
  <c r="H27" i="8" s="1"/>
  <c r="H28" i="8" a="1"/>
  <c r="H28" i="8" s="1"/>
  <c r="H29" i="8" a="1"/>
  <c r="H29" i="8" s="1"/>
  <c r="H30" i="8" a="1"/>
  <c r="H30" i="8" s="1"/>
  <c r="H31" i="8" a="1"/>
  <c r="H31" i="8" s="1"/>
  <c r="H32" i="8" a="1"/>
  <c r="H32" i="8" s="1"/>
  <c r="H33" i="8" a="1"/>
  <c r="H33" i="8" s="1"/>
  <c r="H34" i="8" a="1"/>
  <c r="H34" i="8" s="1"/>
  <c r="H35" i="8" a="1"/>
  <c r="H35" i="8" s="1"/>
  <c r="H36" i="8" a="1"/>
  <c r="H36" i="8" s="1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J14" i="8" a="1"/>
  <c r="J14" i="8" s="1"/>
  <c r="J17" i="8" a="1"/>
  <c r="J17" i="8" s="1"/>
  <c r="J18" i="8" a="1"/>
  <c r="J18" i="8" s="1"/>
  <c r="J24" i="8" a="1"/>
  <c r="J24" i="8" s="1"/>
  <c r="J25" i="8" a="1"/>
  <c r="J25" i="8" s="1"/>
  <c r="J26" i="8" a="1"/>
  <c r="J26" i="8" s="1"/>
  <c r="J27" i="8" a="1"/>
  <c r="J27" i="8" s="1"/>
  <c r="J28" i="8" a="1"/>
  <c r="J28" i="8" s="1"/>
  <c r="J29" i="8" a="1"/>
  <c r="J29" i="8" s="1"/>
  <c r="J30" i="8" a="1"/>
  <c r="J30" i="8" s="1"/>
  <c r="J31" i="8" a="1"/>
  <c r="J31" i="8" s="1"/>
  <c r="J32" i="8" a="1"/>
  <c r="J32" i="8" s="1"/>
  <c r="J33" i="8" a="1"/>
  <c r="J33" i="8" s="1"/>
  <c r="J34" i="8" a="1"/>
  <c r="J34" i="8" s="1"/>
  <c r="J35" i="8" a="1"/>
  <c r="J35" i="8" s="1"/>
  <c r="J36" i="8" a="1"/>
  <c r="J36" i="8" s="1"/>
  <c r="G24" i="8" a="1"/>
  <c r="G24" i="8" s="1"/>
  <c r="G25" i="8" a="1"/>
  <c r="G25" i="8" s="1"/>
  <c r="G26" i="8" a="1"/>
  <c r="G26" i="8" s="1"/>
  <c r="G27" i="8" a="1"/>
  <c r="G27" i="8" s="1"/>
  <c r="G28" i="8" a="1"/>
  <c r="G28" i="8" s="1"/>
  <c r="G29" i="8" a="1"/>
  <c r="G29" i="8" s="1"/>
  <c r="G30" i="8" a="1"/>
  <c r="G30" i="8" s="1"/>
  <c r="G31" i="8" a="1"/>
  <c r="G31" i="8" s="1"/>
  <c r="G32" i="8" a="1"/>
  <c r="G32" i="8" s="1"/>
  <c r="G33" i="8" a="1"/>
  <c r="G33" i="8" s="1"/>
  <c r="G34" i="8" a="1"/>
  <c r="G34" i="8" s="1"/>
  <c r="G35" i="8" a="1"/>
  <c r="G35" i="8" s="1"/>
  <c r="G36" i="8" a="1"/>
  <c r="G36" i="8" s="1"/>
  <c r="G14" i="8" a="1"/>
  <c r="G14" i="8" s="1"/>
  <c r="G17" i="8" a="1"/>
  <c r="G17" i="8" s="1"/>
  <c r="G18" i="8" a="1"/>
  <c r="G18" i="8" s="1"/>
  <c r="G19" i="8" a="1"/>
  <c r="G19" i="8" s="1"/>
  <c r="D24" i="8" a="1"/>
  <c r="D24" i="8" s="1"/>
  <c r="D25" i="8" a="1"/>
  <c r="D25" i="8" s="1"/>
  <c r="D26" i="8" a="1"/>
  <c r="D26" i="8" s="1"/>
  <c r="D27" i="8" a="1"/>
  <c r="D27" i="8" s="1"/>
  <c r="D28" i="8" a="1"/>
  <c r="D28" i="8" s="1"/>
  <c r="D29" i="8" a="1"/>
  <c r="D29" i="8" s="1"/>
  <c r="D30" i="8" a="1"/>
  <c r="D30" i="8" s="1"/>
  <c r="D31" i="8" a="1"/>
  <c r="D31" i="8" s="1"/>
  <c r="D32" i="8" a="1"/>
  <c r="D32" i="8" s="1"/>
  <c r="D33" i="8" a="1"/>
  <c r="D33" i="8" s="1"/>
  <c r="D34" i="8" a="1"/>
  <c r="D34" i="8" s="1"/>
  <c r="D35" i="8" a="1"/>
  <c r="D35" i="8" s="1"/>
  <c r="D36" i="8" a="1"/>
  <c r="D36" i="8" s="1"/>
  <c r="K13" i="8"/>
  <c r="K14" i="8"/>
  <c r="K15" i="8"/>
  <c r="K16" i="8"/>
  <c r="K17" i="8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34" i="8"/>
  <c r="K35" i="8"/>
  <c r="K36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N4" i="2"/>
  <c r="N5" i="2" s="1"/>
  <c r="N6" i="2" s="1"/>
  <c r="N7" i="2" s="1"/>
  <c r="N8" i="2" s="1"/>
  <c r="N9" i="2" s="1"/>
  <c r="N10" i="2" s="1"/>
  <c r="N11" i="2" s="1"/>
  <c r="N12" i="2" s="1"/>
  <c r="N13" i="2" s="1"/>
  <c r="N14" i="2" s="1"/>
  <c r="N15" i="2" s="1"/>
  <c r="N16" i="2" s="1"/>
  <c r="D14" i="2"/>
  <c r="D15" i="2"/>
  <c r="D16" i="2"/>
  <c r="D17" i="2"/>
  <c r="D18" i="2"/>
  <c r="D19" i="2"/>
  <c r="D20" i="2"/>
  <c r="D21" i="2"/>
  <c r="D22" i="2"/>
  <c r="D23" i="2"/>
  <c r="D24" i="2"/>
  <c r="D25" i="2"/>
  <c r="F3" i="1" a="1"/>
  <c r="F3" i="1" s="1"/>
  <c r="F4" i="1"/>
  <c r="E14" i="1"/>
  <c r="E15" i="1"/>
  <c r="E4" i="8" l="1"/>
  <c r="H5" i="8"/>
  <c r="G5" i="8"/>
  <c r="F5" i="8"/>
  <c r="E5" i="8"/>
  <c r="C4" i="8"/>
  <c r="I46" i="2" a="1"/>
  <c r="G46" i="2" a="1"/>
  <c r="I48" i="2"/>
  <c r="I50" i="2"/>
  <c r="G42" i="2" a="1"/>
  <c r="I70" i="2"/>
  <c r="H47" i="2"/>
  <c r="I71" i="2"/>
  <c r="I72" i="2"/>
  <c r="F62" i="2"/>
  <c r="G70" i="2"/>
  <c r="G47" i="2"/>
  <c r="I69" i="2"/>
  <c r="I52" i="2"/>
  <c r="I55" i="2"/>
  <c r="I58" i="2"/>
  <c r="I60" i="2"/>
  <c r="I63" i="2"/>
  <c r="I66" i="2"/>
  <c r="I47" i="2"/>
  <c r="I49" i="2"/>
  <c r="I54" i="2"/>
  <c r="I57" i="2"/>
  <c r="I61" i="2"/>
  <c r="I64" i="2"/>
  <c r="I67" i="2"/>
  <c r="I51" i="2"/>
  <c r="I53" i="2"/>
  <c r="I56" i="2"/>
  <c r="I59" i="2"/>
  <c r="I62" i="2"/>
  <c r="I65" i="2"/>
  <c r="I68" i="2"/>
  <c r="H67" i="2"/>
  <c r="H48" i="2"/>
  <c r="H50" i="2"/>
  <c r="H53" i="2"/>
  <c r="H55" i="2"/>
  <c r="H58" i="2"/>
  <c r="H61" i="2"/>
  <c r="H64" i="2"/>
  <c r="H66" i="2"/>
  <c r="H71" i="2"/>
  <c r="H70" i="2"/>
  <c r="H51" i="2"/>
  <c r="H52" i="2"/>
  <c r="H56" i="2"/>
  <c r="H59" i="2"/>
  <c r="H60" i="2"/>
  <c r="H63" i="2"/>
  <c r="H46" i="2"/>
  <c r="H49" i="2"/>
  <c r="H54" i="2"/>
  <c r="H57" i="2"/>
  <c r="H62" i="2"/>
  <c r="H65" i="2"/>
  <c r="H68" i="2"/>
  <c r="H69" i="2"/>
  <c r="H72" i="2"/>
  <c r="H42" i="2"/>
  <c r="G59" i="2"/>
  <c r="G65" i="2"/>
  <c r="G66" i="2"/>
  <c r="G48" i="2"/>
  <c r="G49" i="2"/>
  <c r="G52" i="2"/>
  <c r="G55" i="2"/>
  <c r="G68" i="2"/>
  <c r="G71" i="2"/>
  <c r="G60" i="2"/>
  <c r="G61" i="2"/>
  <c r="G50" i="2"/>
  <c r="G53" i="2"/>
  <c r="G56" i="2"/>
  <c r="G64" i="2"/>
  <c r="G69" i="2"/>
  <c r="G51" i="2"/>
  <c r="G54" i="2"/>
  <c r="G57" i="2"/>
  <c r="G58" i="2"/>
  <c r="G62" i="2"/>
  <c r="G63" i="2"/>
  <c r="G67" i="2"/>
  <c r="G72" i="2"/>
  <c r="F47" i="2"/>
  <c r="F64" i="2"/>
  <c r="F69" i="2"/>
  <c r="F72" i="2"/>
  <c r="F43" i="2"/>
  <c r="F45" i="2"/>
  <c r="F50" i="2"/>
  <c r="F52" i="2"/>
  <c r="F54" i="2"/>
  <c r="F56" i="2"/>
  <c r="F58" i="2"/>
  <c r="F60" i="2"/>
  <c r="F63" i="2"/>
  <c r="F66" i="2"/>
  <c r="F68" i="2"/>
  <c r="F71" i="2"/>
  <c r="F44" i="2"/>
  <c r="F46" i="2"/>
  <c r="F48" i="2"/>
  <c r="F49" i="2"/>
  <c r="F51" i="2"/>
  <c r="F53" i="2"/>
  <c r="F55" i="2"/>
  <c r="F57" i="2"/>
  <c r="F59" i="2"/>
  <c r="F61" i="2"/>
  <c r="F65" i="2"/>
  <c r="F67" i="2"/>
  <c r="F70" i="2"/>
  <c r="F42" i="2"/>
  <c r="H13" i="8" a="1"/>
  <c r="H13" i="8" s="1"/>
  <c r="J16" i="8" a="1"/>
  <c r="J16" i="8" s="1"/>
  <c r="G16" i="8" a="1"/>
  <c r="G16" i="8" s="1"/>
  <c r="B4" i="3"/>
  <c r="I42" i="2" s="1" a="1"/>
  <c r="I42" i="2" s="1"/>
  <c r="I1" i="2" a="1"/>
  <c r="H1" i="2"/>
  <c r="F17" i="1"/>
  <c r="F7" i="1"/>
  <c r="F26" i="8" l="1" a="1"/>
  <c r="F26" i="8" s="1"/>
  <c r="F27" i="8" a="1"/>
  <c r="F27" i="8" s="1"/>
  <c r="F28" i="8" a="1"/>
  <c r="F28" i="8" s="1"/>
  <c r="F29" i="8" a="1"/>
  <c r="F29" i="8" s="1"/>
  <c r="F30" i="8" a="1"/>
  <c r="F30" i="8" s="1"/>
  <c r="F31" i="8" a="1"/>
  <c r="F31" i="8" s="1"/>
  <c r="F34" i="8" a="1"/>
  <c r="F34" i="8" s="1"/>
  <c r="F36" i="8" a="1"/>
  <c r="F36" i="8" s="1"/>
  <c r="F25" i="8" a="1"/>
  <c r="F25" i="8" s="1"/>
  <c r="F24" i="8" a="1"/>
  <c r="F24" i="8" s="1"/>
  <c r="F14" i="8" a="1"/>
  <c r="F14" i="8" s="1"/>
  <c r="F15" i="8" a="1"/>
  <c r="F15" i="8" s="1"/>
  <c r="F16" i="8" a="1"/>
  <c r="F16" i="8" s="1"/>
  <c r="F17" i="8" a="1"/>
  <c r="F17" i="8" s="1"/>
  <c r="F18" i="8" a="1"/>
  <c r="F18" i="8" s="1"/>
  <c r="F19" i="8" a="1"/>
  <c r="F19" i="8" s="1"/>
  <c r="F22" i="8" a="1"/>
  <c r="F22" i="8" s="1"/>
  <c r="F13" i="8" a="1"/>
  <c r="F13" i="8" s="1"/>
  <c r="G46" i="2"/>
  <c r="I46" i="2"/>
  <c r="J48" i="2"/>
  <c r="J50" i="2"/>
  <c r="J69" i="2"/>
  <c r="J52" i="2"/>
  <c r="J55" i="2"/>
  <c r="J68" i="2"/>
  <c r="J58" i="2"/>
  <c r="J65" i="2"/>
  <c r="G42" i="2"/>
  <c r="M56" i="2" a="1"/>
  <c r="M56" i="2" s="1"/>
  <c r="M55" i="2" a="1"/>
  <c r="M55" i="2" s="1"/>
  <c r="M54" i="2" a="1"/>
  <c r="M54" i="2" s="1"/>
  <c r="M51" i="2" a="1"/>
  <c r="M51" i="2" s="1"/>
  <c r="H43" i="2" a="1"/>
  <c r="H43" i="2" s="1"/>
  <c r="J59" i="2"/>
  <c r="J72" i="2"/>
  <c r="J71" i="2"/>
  <c r="J70" i="2"/>
  <c r="J60" i="2"/>
  <c r="J63" i="2"/>
  <c r="J66" i="2"/>
  <c r="J47" i="2"/>
  <c r="J49" i="2"/>
  <c r="J54" i="2"/>
  <c r="J57" i="2"/>
  <c r="J61" i="2"/>
  <c r="J64" i="2"/>
  <c r="J67" i="2"/>
  <c r="J51" i="2"/>
  <c r="J53" i="2"/>
  <c r="J56" i="2"/>
  <c r="J62" i="2"/>
  <c r="G23" i="8" a="1"/>
  <c r="G23" i="8" s="1"/>
  <c r="M43" i="2" a="1"/>
  <c r="M43" i="2" s="1"/>
  <c r="J23" i="8" a="1"/>
  <c r="J23" i="8" s="1"/>
  <c r="I1" i="2"/>
  <c r="F6" i="1"/>
  <c r="J46" i="2" l="1"/>
  <c r="I29" i="8"/>
  <c r="I30" i="8"/>
  <c r="D17" i="8" a="1"/>
  <c r="D17" i="8" s="1"/>
  <c r="I17" i="8" s="1"/>
  <c r="I31" i="8"/>
  <c r="D18" i="8" a="1"/>
  <c r="D18" i="8" s="1"/>
  <c r="I18" i="8" s="1"/>
  <c r="G43" i="2" a="1"/>
  <c r="G43" i="2" s="1"/>
  <c r="F5" i="1"/>
  <c r="I43" i="2" l="1" a="1"/>
  <c r="I43" i="2" s="1"/>
  <c r="M52" i="2" a="1"/>
  <c r="M52" i="2" s="1"/>
  <c r="M53" i="2" a="1"/>
  <c r="M53" i="2" s="1"/>
  <c r="H44" i="2" a="1"/>
  <c r="H44" i="2" s="1"/>
  <c r="G44" i="2" a="1"/>
  <c r="G44" i="2" s="1"/>
  <c r="F8" i="1"/>
  <c r="F9" i="1" s="1"/>
  <c r="I45" i="2" l="1" a="1"/>
  <c r="I45" i="2" s="1"/>
  <c r="G45" i="2" a="1"/>
  <c r="G45" i="2" s="1"/>
  <c r="F32" i="8" s="1" a="1"/>
  <c r="F32" i="8" s="1"/>
  <c r="H45" i="2" a="1"/>
  <c r="H45" i="2" s="1"/>
  <c r="G22" i="8" a="1"/>
  <c r="G22" i="8" s="1"/>
  <c r="H23" i="8" a="1"/>
  <c r="H23" i="8" s="1"/>
  <c r="H15" i="8" a="1"/>
  <c r="H15" i="8" s="1"/>
  <c r="G15" i="8" a="1"/>
  <c r="G15" i="8" s="1"/>
  <c r="J19" i="8" a="1"/>
  <c r="J19" i="8" s="1"/>
  <c r="I44" i="2" a="1"/>
  <c r="I44" i="2" s="1"/>
  <c r="M50" i="2" s="1" a="1"/>
  <c r="M50" i="2" s="1"/>
  <c r="F20" i="8" l="1" a="1"/>
  <c r="F20" i="8" s="1"/>
  <c r="F23" i="8" a="1"/>
  <c r="F23" i="8" s="1"/>
  <c r="F35" i="8" a="1"/>
  <c r="F35" i="8" s="1"/>
  <c r="F21" i="8" a="1"/>
  <c r="F21" i="8" s="1"/>
  <c r="F33" i="8" a="1"/>
  <c r="F33" i="8" s="1"/>
  <c r="M42" i="2" a="1"/>
  <c r="M42" i="2" s="1"/>
  <c r="D23" i="8" a="1"/>
  <c r="D23" i="8" s="1"/>
  <c r="I34" i="8"/>
  <c r="D13" i="8" a="1"/>
  <c r="D13" i="8" s="1"/>
  <c r="I13" i="8" s="1"/>
  <c r="I25" i="8"/>
  <c r="I36" i="8"/>
  <c r="I24" i="8"/>
  <c r="D22" i="8" a="1"/>
  <c r="D22" i="8" s="1"/>
  <c r="H22" i="8" a="1"/>
  <c r="H22" i="8" s="1"/>
  <c r="J15" i="8" a="1"/>
  <c r="J15" i="8" s="1"/>
  <c r="I27" i="8"/>
  <c r="J22" i="8" a="1"/>
  <c r="J22" i="8" s="1"/>
  <c r="H16" i="8" a="1"/>
  <c r="H16" i="8" s="1"/>
  <c r="D16" i="8" a="1"/>
  <c r="D16" i="8" s="1"/>
  <c r="I28" i="8"/>
  <c r="I26" i="8"/>
  <c r="D14" i="8" a="1"/>
  <c r="D14" i="8" s="1"/>
  <c r="I14" i="8" s="1"/>
  <c r="D19" i="8" a="1"/>
  <c r="D19" i="8" s="1"/>
  <c r="I32" i="8"/>
  <c r="H20" i="8" a="1"/>
  <c r="H20" i="8" s="1"/>
  <c r="H19" i="8" a="1"/>
  <c r="H19" i="8" s="1"/>
  <c r="H21" i="8" a="1"/>
  <c r="H21" i="8" s="1"/>
  <c r="G20" i="8" a="1"/>
  <c r="G20" i="8" s="1"/>
  <c r="G21" i="8" a="1"/>
  <c r="G21" i="8" s="1"/>
  <c r="J20" i="8" a="1"/>
  <c r="J20" i="8" s="1"/>
  <c r="J21" i="8" a="1"/>
  <c r="J21" i="8" s="1"/>
  <c r="D20" i="8" l="1" a="1"/>
  <c r="D20" i="8" s="1"/>
  <c r="I35" i="8"/>
  <c r="D21" i="8" a="1"/>
  <c r="D21" i="8" s="1"/>
  <c r="I33" i="8"/>
  <c r="J45" i="2"/>
  <c r="I23" i="8"/>
  <c r="I22" i="8"/>
  <c r="I16" i="8"/>
  <c r="D15" i="8" a="1"/>
  <c r="D15" i="8" s="1"/>
  <c r="I15" i="8" s="1"/>
  <c r="E7" i="8" a="1"/>
  <c r="E7" i="8" s="1"/>
  <c r="I19" i="8"/>
  <c r="F10" i="1"/>
  <c r="I20" i="8" l="1"/>
  <c r="I21" i="8"/>
  <c r="F7" i="8" a="1"/>
  <c r="F7" i="8" s="1"/>
  <c r="H7" i="8" a="1"/>
  <c r="H7" i="8" s="1"/>
  <c r="C7" i="8" a="1"/>
  <c r="C7" i="8" s="1"/>
  <c r="F12" i="1"/>
  <c r="F11" i="1"/>
  <c r="F15" i="1" l="1"/>
  <c r="F14" i="1"/>
  <c r="F13" i="1" l="1"/>
  <c r="F16" i="1" s="1"/>
  <c r="F18" i="1" s="1"/>
  <c r="B13" i="8" l="1"/>
  <c r="B16" i="8" l="1"/>
  <c r="B15" i="8"/>
  <c r="B22" i="8"/>
  <c r="C6" i="8" l="1" a="1"/>
  <c r="C6" i="8" s="1"/>
  <c r="C8" i="8" s="1"/>
  <c r="G2" i="1" l="1" a="1"/>
  <c r="G2" i="1" s="1"/>
  <c r="B21" i="8" s="1"/>
  <c r="M44" i="2"/>
  <c r="B23" i="8"/>
  <c r="G4" i="1" l="1"/>
  <c r="G3" i="1" a="1"/>
  <c r="G3" i="1" s="1"/>
  <c r="G17" i="1" l="1"/>
  <c r="G6" i="1"/>
  <c r="G7" i="1"/>
  <c r="G5" i="1" l="1"/>
  <c r="G8" i="1" s="1"/>
  <c r="G9" i="1" l="1"/>
  <c r="G10" i="1" l="1"/>
  <c r="G11" i="1" l="1"/>
  <c r="G14" i="1" s="1"/>
  <c r="G12" i="1"/>
  <c r="G15" i="1" s="1"/>
  <c r="G13" i="1" l="1"/>
  <c r="C23" i="8"/>
  <c r="C13" i="8"/>
  <c r="E6" i="8" s="1" a="1"/>
  <c r="E6" i="8" s="1"/>
  <c r="E8" i="8" s="1"/>
  <c r="M45" i="2" s="1" a="1"/>
  <c r="M45" i="2" s="1"/>
  <c r="C16" i="8"/>
  <c r="C15" i="8"/>
  <c r="C22" i="8"/>
  <c r="G16" i="1" l="1"/>
  <c r="H6" i="8" a="1"/>
  <c r="H6" i="8" s="1"/>
  <c r="H8" i="8" s="1"/>
  <c r="M48" i="2" s="1" a="1"/>
  <c r="M48" i="2" s="1"/>
  <c r="J42" i="2" s="1"/>
  <c r="F6" i="8" a="1"/>
  <c r="F6" i="8" s="1"/>
  <c r="G18" i="1" l="1"/>
  <c r="C21" i="8"/>
  <c r="M47" i="2" a="1"/>
  <c r="M47" i="2" s="1"/>
  <c r="M46" i="2" a="1"/>
  <c r="M46" i="2" s="1"/>
  <c r="F8" i="8"/>
  <c r="G8" i="8"/>
  <c r="H16" i="1" a="1"/>
  <c r="H16" i="1" s="1"/>
  <c r="J44" i="2"/>
  <c r="J43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tc={E79471DB-C803-4155-8FE9-035B923F2730}</author>
    <author>tc={7051D1B0-F1FC-4955-8088-9E110544A5B3}</author>
    <author>tc={055BE583-2237-43CE-A2A3-5FA32D9538BC}</author>
    <author>tc={041D99BE-4626-4C21-8FA3-E97648AC1619}</author>
  </authors>
  <commentList>
    <comment ref="J11" authorId="0" shapeId="0" xr:uid="{E79471DB-C803-4155-8FE9-035B923F2730}">
      <text>
        <t>[Threaded comment]
Your version of Excel allows you to read this threaded comment; however, any edits to it will get removed if the file is opened in a newer version of Excel. Learn more: https://go.microsoft.com/fwlink/?linkid=870924
Comment:
    Ulaze i praznici/blagdani prema rasporedu radnog vremena</t>
      </text>
    </comment>
    <comment ref="F12" authorId="1" shapeId="0" xr:uid="{7051D1B0-F1FC-4955-8088-9E110544A5B3}">
      <text>
        <t>[Threaded comment]
Your version of Excel allows you to read this threaded comment; however, any edits to it will get removed if the file is opened in a newer version of Excel. Learn more: https://go.microsoft.com/fwlink/?linkid=870924
Comment:
    Ne ulaze praznici/blagdani prema rasporedu radnog vremena ukoliko je bolovanje(poslodavac ili HZZO))</t>
      </text>
    </comment>
    <comment ref="G12" authorId="2" shapeId="0" xr:uid="{055BE583-2237-43CE-A2A3-5FA32D9538BC}">
      <text>
        <t>[Threaded comment]
Your version of Excel allows you to read this threaded comment; however, any edits to it will get removed if the file is opened in a newer version of Excel. Learn more: https://go.microsoft.com/fwlink/?linkid=870924
Comment:
    Ne ulaze praznici/blagdani prema rasporedu radnog vremena</t>
      </text>
    </comment>
    <comment ref="H12" authorId="3" shapeId="0" xr:uid="{041D99BE-4626-4C21-8FA3-E97648AC1619}">
      <text>
        <t>[Threaded comment]
Your version of Excel allows you to read this threaded comment; however, any edits to it will get removed if the file is opened in a newer version of Excel. Learn more: https://go.microsoft.com/fwlink/?linkid=870924
Comment:
    Ulaze i praznici/blagdani prema rasporedu radnog vremena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<sst xmlns="http://schemas.openxmlformats.org/spreadsheetml/2006/main" count="661" uniqueCount="643">
  <si>
    <t>Red. Br.</t>
  </si>
  <si>
    <t>Opis</t>
  </si>
  <si>
    <t>Bez invalidnosti</t>
  </si>
  <si>
    <t>1.</t>
  </si>
  <si>
    <t>Bruto plaća</t>
  </si>
  <si>
    <t>Djelomična invalidnost</t>
  </si>
  <si>
    <t>Umanjenje MIO I. stup</t>
  </si>
  <si>
    <t>Puna invalidnost</t>
  </si>
  <si>
    <t>2.</t>
  </si>
  <si>
    <t>Doprinosi iz plaće</t>
  </si>
  <si>
    <t>MIO I. stup</t>
  </si>
  <si>
    <t>MIO II. Stup</t>
  </si>
  <si>
    <t>3.</t>
  </si>
  <si>
    <t>Dohodak</t>
  </si>
  <si>
    <t>Osobni odbitak</t>
  </si>
  <si>
    <t>Porezna osnovica</t>
  </si>
  <si>
    <t>za nižu stopu (do 5.000)</t>
  </si>
  <si>
    <t>za višu stopu (preko 5000)</t>
  </si>
  <si>
    <t>4.</t>
  </si>
  <si>
    <t>Porez na dohodak</t>
  </si>
  <si>
    <t>po nižoj stopi</t>
  </si>
  <si>
    <t>po višoj stopi</t>
  </si>
  <si>
    <t>5.</t>
  </si>
  <si>
    <t>Neto plaća</t>
  </si>
  <si>
    <t>Doprinos na plaću</t>
  </si>
  <si>
    <t>7.</t>
  </si>
  <si>
    <t>Trošak</t>
  </si>
  <si>
    <t>Mjesečni fond sati</t>
  </si>
  <si>
    <t>Praznici/Blagdani</t>
  </si>
  <si>
    <t>Radni sati</t>
  </si>
  <si>
    <t>Mjesec</t>
  </si>
  <si>
    <t>Od</t>
  </si>
  <si>
    <t>Do</t>
  </si>
  <si>
    <t>Sati</t>
  </si>
  <si>
    <t>Grad / Općina</t>
  </si>
  <si>
    <t>Niža stopa</t>
  </si>
  <si>
    <t>Viša stopa</t>
  </si>
  <si>
    <t>ANDRIJAŠEVCI</t>
  </si>
  <si>
    <t>ANTUNOVAC</t>
  </si>
  <si>
    <t>BABINA GREDA</t>
  </si>
  <si>
    <t>BAKAR</t>
  </si>
  <si>
    <t>BALE - VALLE</t>
  </si>
  <si>
    <t>BARBAN</t>
  </si>
  <si>
    <t>BARILOVIĆ</t>
  </si>
  <si>
    <t>BAŠKA</t>
  </si>
  <si>
    <t>BAŠKA VODA</t>
  </si>
  <si>
    <t>BEBRINA</t>
  </si>
  <si>
    <t>BEDEKOVČINA</t>
  </si>
  <si>
    <t>BEDENICA</t>
  </si>
  <si>
    <t>BEDNJA</t>
  </si>
  <si>
    <t>BELI MANASTIR</t>
  </si>
  <si>
    <t>BELICA</t>
  </si>
  <si>
    <t>BELIŠĆE</t>
  </si>
  <si>
    <t>BENKOVAC</t>
  </si>
  <si>
    <t>BEREK</t>
  </si>
  <si>
    <t>BERETINEC</t>
  </si>
  <si>
    <t>BIBINJE</t>
  </si>
  <si>
    <t>BILICE</t>
  </si>
  <si>
    <t>BILJE</t>
  </si>
  <si>
    <t>BIOGRAD NA MORU</t>
  </si>
  <si>
    <t>BISKUPIJA</t>
  </si>
  <si>
    <t>BISTRA</t>
  </si>
  <si>
    <t>BIZOVAC</t>
  </si>
  <si>
    <t>BJELOVAR</t>
  </si>
  <si>
    <t>BLATO</t>
  </si>
  <si>
    <t>BOGDANOVCI</t>
  </si>
  <si>
    <t>BOL</t>
  </si>
  <si>
    <t>BOROVO</t>
  </si>
  <si>
    <t>BOSILJEVO</t>
  </si>
  <si>
    <t>BOŠNJACI</t>
  </si>
  <si>
    <t>BRCKOVLJANI</t>
  </si>
  <si>
    <t>BRDOVEC</t>
  </si>
  <si>
    <t>BRELA</t>
  </si>
  <si>
    <t>BRESTOVAC</t>
  </si>
  <si>
    <t>BREZNICA</t>
  </si>
  <si>
    <t>BREZNIČKI HUM</t>
  </si>
  <si>
    <t>BRINJE</t>
  </si>
  <si>
    <t>BROD MORAVICE</t>
  </si>
  <si>
    <t>BRODSKI STUPNIK</t>
  </si>
  <si>
    <t>BRTONIGLA - VERTENEGLIO</t>
  </si>
  <si>
    <t>BUDINŠČINA</t>
  </si>
  <si>
    <t>BUJE - BUIE</t>
  </si>
  <si>
    <t>BUKOVLJE</t>
  </si>
  <si>
    <t>BUZET</t>
  </si>
  <si>
    <t>CERNA</t>
  </si>
  <si>
    <t>CERNIK</t>
  </si>
  <si>
    <t>CEROVLJE</t>
  </si>
  <si>
    <t>CESTICA</t>
  </si>
  <si>
    <t>CETINGRAD</t>
  </si>
  <si>
    <t>CISTA PROVO</t>
  </si>
  <si>
    <t>CIVLJANE</t>
  </si>
  <si>
    <t>CRES</t>
  </si>
  <si>
    <t>CRIKVENICA</t>
  </si>
  <si>
    <t>CRNAC</t>
  </si>
  <si>
    <t>ČABAR</t>
  </si>
  <si>
    <t>ČAČINCI</t>
  </si>
  <si>
    <t>ČAĐAVICA</t>
  </si>
  <si>
    <t>ČAGLIN</t>
  </si>
  <si>
    <t>ČAKOVEC</t>
  </si>
  <si>
    <t>ČAVLE</t>
  </si>
  <si>
    <t>ČAZMA</t>
  </si>
  <si>
    <t>ČEMINAC</t>
  </si>
  <si>
    <t>ČEPIN</t>
  </si>
  <si>
    <t>DARDA</t>
  </si>
  <si>
    <t>DARUVAR</t>
  </si>
  <si>
    <t>DAVOR</t>
  </si>
  <si>
    <t>DEKANOVEC</t>
  </si>
  <si>
    <t>DELNICE</t>
  </si>
  <si>
    <t>DESINIĆ</t>
  </si>
  <si>
    <t>DEŽANOVAC</t>
  </si>
  <si>
    <t>DICMO</t>
  </si>
  <si>
    <t>DOBRINJ</t>
  </si>
  <si>
    <t>DOMAŠINEC</t>
  </si>
  <si>
    <t>DONJA DUBRAVA</t>
  </si>
  <si>
    <t>DONJA MOTIČINA</t>
  </si>
  <si>
    <t>DONJA STUBICA</t>
  </si>
  <si>
    <t>DONJA VOĆA</t>
  </si>
  <si>
    <t>DONJI ANDRIJEVCI</t>
  </si>
  <si>
    <t>DONJI KRALJEVEC</t>
  </si>
  <si>
    <t>DONJI KUKURUZARI</t>
  </si>
  <si>
    <t>DONJI LAPAC</t>
  </si>
  <si>
    <t>DONJI MIHOLJAC</t>
  </si>
  <si>
    <t>DONJI VIDOVEC</t>
  </si>
  <si>
    <t>DRAGALIĆ</t>
  </si>
  <si>
    <t>DRAGANIĆ</t>
  </si>
  <si>
    <t>DRAŽ</t>
  </si>
  <si>
    <t>DRENOVCI</t>
  </si>
  <si>
    <t>DRENJE</t>
  </si>
  <si>
    <t>DRNIŠ</t>
  </si>
  <si>
    <t>DRNJE</t>
  </si>
  <si>
    <t>DUBRAVA</t>
  </si>
  <si>
    <t>DUBRAVICA</t>
  </si>
  <si>
    <t>DUBROVAČKO PRIMORJE</t>
  </si>
  <si>
    <t>DUBROVNIK</t>
  </si>
  <si>
    <t>DUGA RESA</t>
  </si>
  <si>
    <t>DUGI RAT</t>
  </si>
  <si>
    <t>DUGO SELO</t>
  </si>
  <si>
    <t>DUGOPOLJE</t>
  </si>
  <si>
    <t>DVOR</t>
  </si>
  <si>
    <t>ĐAKOVO</t>
  </si>
  <si>
    <t>ĐELEKOVEC</t>
  </si>
  <si>
    <t>ĐULOVAC</t>
  </si>
  <si>
    <t>ĐURĐENOVAC</t>
  </si>
  <si>
    <t>ĐURĐEVAC</t>
  </si>
  <si>
    <t>ĐURMANEC</t>
  </si>
  <si>
    <t>ERDUT</t>
  </si>
  <si>
    <t>ERNESTINOVO</t>
  </si>
  <si>
    <t>ERVENIK</t>
  </si>
  <si>
    <t>FARKAŠEVAC</t>
  </si>
  <si>
    <t>FAŽANA - FASANA</t>
  </si>
  <si>
    <t>FERDINANDOVAC</t>
  </si>
  <si>
    <t>FERIČANCI</t>
  </si>
  <si>
    <t>FUNTANA - FONTANE</t>
  </si>
  <si>
    <t>FUŽINE</t>
  </si>
  <si>
    <t>GALOVAC</t>
  </si>
  <si>
    <t>GARČIN</t>
  </si>
  <si>
    <t>GAREŠNICA</t>
  </si>
  <si>
    <t>GENERALSKI STOL</t>
  </si>
  <si>
    <t>GLINA</t>
  </si>
  <si>
    <t>GOLA</t>
  </si>
  <si>
    <t>GORIČAN</t>
  </si>
  <si>
    <t>GORJANI</t>
  </si>
  <si>
    <t>GORNJA RIJEKA</t>
  </si>
  <si>
    <t>GORNJA STUBICA</t>
  </si>
  <si>
    <t>GORNJA VRBA</t>
  </si>
  <si>
    <t>GORNJI BOGIĆEVCI</t>
  </si>
  <si>
    <t>GORNJI KNEGINEC</t>
  </si>
  <si>
    <t>GORNJI MIHALJEVEC</t>
  </si>
  <si>
    <t>GOSPIĆ</t>
  </si>
  <si>
    <t>GRAČAC</t>
  </si>
  <si>
    <t>GRAČIŠĆE</t>
  </si>
  <si>
    <t>GRADAC</t>
  </si>
  <si>
    <t>GRADEC</t>
  </si>
  <si>
    <t>GRADINA</t>
  </si>
  <si>
    <t>GRADIŠTE</t>
  </si>
  <si>
    <t>GROŽNJAN - GRISIGNANA</t>
  </si>
  <si>
    <t>GRUBIŠNO POLJE</t>
  </si>
  <si>
    <t>GUNDINCI</t>
  </si>
  <si>
    <t>GUNJA</t>
  </si>
  <si>
    <t>GVOZD</t>
  </si>
  <si>
    <t>HERCEGOVAC</t>
  </si>
  <si>
    <t>HLEBINE</t>
  </si>
  <si>
    <t>HRAŠĆINA</t>
  </si>
  <si>
    <t>HRVACE</t>
  </si>
  <si>
    <t>HRVATSKA DUBICA</t>
  </si>
  <si>
    <t>HRVATSKA KOSTAJNICA</t>
  </si>
  <si>
    <t>HUM NA SUTLI</t>
  </si>
  <si>
    <t>HVAR</t>
  </si>
  <si>
    <t>ILOK</t>
  </si>
  <si>
    <t>IMOTSKI</t>
  </si>
  <si>
    <t>IVANEC</t>
  </si>
  <si>
    <t>IVANIĆ-GRAD</t>
  </si>
  <si>
    <t>IVANKOVO</t>
  </si>
  <si>
    <t>IVANSKA</t>
  </si>
  <si>
    <t>JAGODNJAK</t>
  </si>
  <si>
    <t>JAKOVLJE</t>
  </si>
  <si>
    <t>JAKŠIĆ</t>
  </si>
  <si>
    <t>JALŽABET</t>
  </si>
  <si>
    <t>JANJINA</t>
  </si>
  <si>
    <t>JARMINA</t>
  </si>
  <si>
    <t>JASENICE</t>
  </si>
  <si>
    <t>JASENOVAC</t>
  </si>
  <si>
    <t>JASTREBARSKO</t>
  </si>
  <si>
    <t>JELENJE</t>
  </si>
  <si>
    <t>JELSA</t>
  </si>
  <si>
    <t>JESENJE</t>
  </si>
  <si>
    <t>JOSIPDOL</t>
  </si>
  <si>
    <t>KALI</t>
  </si>
  <si>
    <t>KALINOVAC</t>
  </si>
  <si>
    <t>KALNIK</t>
  </si>
  <si>
    <t>KAMANJE</t>
  </si>
  <si>
    <t>KANFANAR</t>
  </si>
  <si>
    <t>KAPELA</t>
  </si>
  <si>
    <t>KAPTOL</t>
  </si>
  <si>
    <t>KARLOBAG</t>
  </si>
  <si>
    <t>KARLOVAC</t>
  </si>
  <si>
    <t>KAROJBA</t>
  </si>
  <si>
    <t>KASTAV</t>
  </si>
  <si>
    <t>KAŠTELA</t>
  </si>
  <si>
    <t>KIJEVO</t>
  </si>
  <si>
    <t>KISTANJE</t>
  </si>
  <si>
    <t>KLAKAR</t>
  </si>
  <si>
    <t>KLANA</t>
  </si>
  <si>
    <t>KLANJEC</t>
  </si>
  <si>
    <t>KLENOVNIK</t>
  </si>
  <si>
    <t>KLINČA SELA</t>
  </si>
  <si>
    <t>KLIS</t>
  </si>
  <si>
    <t>KLOŠTAR IVANIĆ</t>
  </si>
  <si>
    <t>KLOŠTAR PODRAVSKI</t>
  </si>
  <si>
    <t>KNEŽEVI VINOGRADI</t>
  </si>
  <si>
    <t>KNIN</t>
  </si>
  <si>
    <t>KOLAN</t>
  </si>
  <si>
    <t>KOMIŽA</t>
  </si>
  <si>
    <t>KONAVLE</t>
  </si>
  <si>
    <t>KONČANICA</t>
  </si>
  <si>
    <t>KONJŠČINA</t>
  </si>
  <si>
    <t>KOPRIVNICA</t>
  </si>
  <si>
    <t>KOPRIVNIČKI BREGI</t>
  </si>
  <si>
    <t>KOPRIVNIČKI IVANEC</t>
  </si>
  <si>
    <t>KORČULA</t>
  </si>
  <si>
    <t>KOSTRENA</t>
  </si>
  <si>
    <t>KOŠKA</t>
  </si>
  <si>
    <t>KOTORIBA</t>
  </si>
  <si>
    <t>KRALJEVEC NA SUTLI</t>
  </si>
  <si>
    <t>KRALJEVICA</t>
  </si>
  <si>
    <t>KRAPINA</t>
  </si>
  <si>
    <t>KRAPINSKE TOPLICE</t>
  </si>
  <si>
    <t>KRAŠIĆ</t>
  </si>
  <si>
    <t>KRAVARSKO</t>
  </si>
  <si>
    <t>KRIŽ</t>
  </si>
  <si>
    <t>KRIŽEVCI</t>
  </si>
  <si>
    <t>KRK</t>
  </si>
  <si>
    <t>KRNJAK</t>
  </si>
  <si>
    <t>KRŠAN</t>
  </si>
  <si>
    <t>KUKLJICA</t>
  </si>
  <si>
    <t>KULA NORINSKA</t>
  </si>
  <si>
    <t>KUMROVEC</t>
  </si>
  <si>
    <t>KUTINA</t>
  </si>
  <si>
    <t>KUTJEVO</t>
  </si>
  <si>
    <t>LABIN</t>
  </si>
  <si>
    <t>LANIŠĆE</t>
  </si>
  <si>
    <t>LASINJA</t>
  </si>
  <si>
    <t>LASTOVO</t>
  </si>
  <si>
    <t>LEĆEVICA</t>
  </si>
  <si>
    <t>LEGRAD</t>
  </si>
  <si>
    <t>LEKENIK</t>
  </si>
  <si>
    <t>LEPOGLAVA</t>
  </si>
  <si>
    <t>LEVANJSKA VAROŠ</t>
  </si>
  <si>
    <t>LIPIK</t>
  </si>
  <si>
    <t>LIPOVLJANI</t>
  </si>
  <si>
    <t>LIŠANE OSTROVIČKE</t>
  </si>
  <si>
    <t>LIŽNJAN - LISIGNANO</t>
  </si>
  <si>
    <t>LOBOR</t>
  </si>
  <si>
    <t>LOKVE</t>
  </si>
  <si>
    <t>LOKVIČIĆI</t>
  </si>
  <si>
    <t>LOPAR</t>
  </si>
  <si>
    <t>LOVAS</t>
  </si>
  <si>
    <t>LOVINAC</t>
  </si>
  <si>
    <t>LOVRAN</t>
  </si>
  <si>
    <t>LOVREĆ</t>
  </si>
  <si>
    <t>LUDBREG</t>
  </si>
  <si>
    <t>LUKA</t>
  </si>
  <si>
    <t>LUKAČ</t>
  </si>
  <si>
    <t>LUMBARDA</t>
  </si>
  <si>
    <t>LUPOGLAV</t>
  </si>
  <si>
    <t>LJUBEŠĆICA</t>
  </si>
  <si>
    <t>MAČE</t>
  </si>
  <si>
    <t>MAGADENOVAC</t>
  </si>
  <si>
    <t>MAJUR</t>
  </si>
  <si>
    <t>MAKARSKA</t>
  </si>
  <si>
    <t>MALA SUBOTICA</t>
  </si>
  <si>
    <t>MALI BUKOVEC</t>
  </si>
  <si>
    <t>MALI LOŠINJ</t>
  </si>
  <si>
    <t>MALINSKA-DUBAŠNICA</t>
  </si>
  <si>
    <t>MARČANA</t>
  </si>
  <si>
    <t>MARIJA BISTRICA</t>
  </si>
  <si>
    <t>MARIJA GORICA</t>
  </si>
  <si>
    <t>MARIJANCI</t>
  </si>
  <si>
    <t>MARINA</t>
  </si>
  <si>
    <t>MARKUŠICA</t>
  </si>
  <si>
    <t>MARTIJANEC</t>
  </si>
  <si>
    <t>MARTINSKA VES</t>
  </si>
  <si>
    <t>MARUŠEVEC</t>
  </si>
  <si>
    <t>MATULJI</t>
  </si>
  <si>
    <t>MEDULIN</t>
  </si>
  <si>
    <t>METKOVIĆ</t>
  </si>
  <si>
    <t>MIHOVLJAN</t>
  </si>
  <si>
    <t>MIKLEUŠ</t>
  </si>
  <si>
    <t>MILNA</t>
  </si>
  <si>
    <t>MLJET</t>
  </si>
  <si>
    <t>MOLVE</t>
  </si>
  <si>
    <t>MOŠĆENIČKA DRAGA</t>
  </si>
  <si>
    <t>MOTOVUN - MONTONA</t>
  </si>
  <si>
    <t>MRKOPALJ</t>
  </si>
  <si>
    <t>MUĆ</t>
  </si>
  <si>
    <t>MURSKO SREDIŠĆE</t>
  </si>
  <si>
    <t>MURTER - KORNATI</t>
  </si>
  <si>
    <t>NAŠICE</t>
  </si>
  <si>
    <t>NEDELIŠĆE</t>
  </si>
  <si>
    <t>NEGOSLAVCI</t>
  </si>
  <si>
    <t>NEREŽIŠĆA</t>
  </si>
  <si>
    <t>NETRETIĆ</t>
  </si>
  <si>
    <t>NIJEMCI</t>
  </si>
  <si>
    <t>NIN</t>
  </si>
  <si>
    <t>NOVA BUKOVICA</t>
  </si>
  <si>
    <t>NOVA GRADIŠKA</t>
  </si>
  <si>
    <t>NOVA KAPELA</t>
  </si>
  <si>
    <t>NOVA RAČA</t>
  </si>
  <si>
    <t>NOVALJA</t>
  </si>
  <si>
    <t>NOVI GOLUBOVEC</t>
  </si>
  <si>
    <t>NOVI MAROF</t>
  </si>
  <si>
    <t>NOVI VINODOLSKI</t>
  </si>
  <si>
    <t>NOVIGRAD</t>
  </si>
  <si>
    <t>NOVIGRAD - CITTANOVA</t>
  </si>
  <si>
    <t>NOVIGRAD PODRAVSKI</t>
  </si>
  <si>
    <t>NOVO VIRJE</t>
  </si>
  <si>
    <t>NOVSKA</t>
  </si>
  <si>
    <t>NUŠTAR</t>
  </si>
  <si>
    <t>OBROVAC</t>
  </si>
  <si>
    <t>OGULIN</t>
  </si>
  <si>
    <t>OKRUG</t>
  </si>
  <si>
    <t>OKUČANI</t>
  </si>
  <si>
    <t>OMIŠ</t>
  </si>
  <si>
    <t>OMIŠALJ</t>
  </si>
  <si>
    <t>OPATIJA</t>
  </si>
  <si>
    <t>OPRISAVCI</t>
  </si>
  <si>
    <t>OPRTALJ - PORTOLE</t>
  </si>
  <si>
    <t>OPUZEN</t>
  </si>
  <si>
    <t>ORAHOVICA</t>
  </si>
  <si>
    <t>OREBIĆ</t>
  </si>
  <si>
    <t>OREHOVICA</t>
  </si>
  <si>
    <t>ORIOVAC</t>
  </si>
  <si>
    <t>ORLE</t>
  </si>
  <si>
    <t>OROSLAVJE</t>
  </si>
  <si>
    <t>OSIJEK</t>
  </si>
  <si>
    <t>OTOČAC</t>
  </si>
  <si>
    <t>OTOK (SINJ)</t>
  </si>
  <si>
    <t>OTOK (VINKOVCI)</t>
  </si>
  <si>
    <t>OZALJ</t>
  </si>
  <si>
    <t>PAG</t>
  </si>
  <si>
    <t>PAKOŠTANE</t>
  </si>
  <si>
    <t>PAKRAC</t>
  </si>
  <si>
    <t>PAŠMAN</t>
  </si>
  <si>
    <t>PAZIN</t>
  </si>
  <si>
    <t>PERUŠIĆ</t>
  </si>
  <si>
    <t>PETERANEC</t>
  </si>
  <si>
    <t>PETLOVAC</t>
  </si>
  <si>
    <t>PETRIJANEC</t>
  </si>
  <si>
    <t>PETRIJEVCI</t>
  </si>
  <si>
    <t>PETRINJA</t>
  </si>
  <si>
    <t>PETROVSKO</t>
  </si>
  <si>
    <t>PIĆAN</t>
  </si>
  <si>
    <t>PIROVAC</t>
  </si>
  <si>
    <t>PISAROVINA</t>
  </si>
  <si>
    <t>PITOMAČA</t>
  </si>
  <si>
    <t>PLAŠKI</t>
  </si>
  <si>
    <t>PLETERNICA</t>
  </si>
  <si>
    <t>PLITVIČKA JEZERA</t>
  </si>
  <si>
    <t>PLOČE</t>
  </si>
  <si>
    <t>PODBABLJE</t>
  </si>
  <si>
    <t>PODCRKAVLJE</t>
  </si>
  <si>
    <t>PODGORA</t>
  </si>
  <si>
    <t>PODGORAČ</t>
  </si>
  <si>
    <t>PODRAVSKA MOSLAVINA</t>
  </si>
  <si>
    <t>PODRAVSKE SESVETE</t>
  </si>
  <si>
    <t>PODSTRANA</t>
  </si>
  <si>
    <t>PODTUREN</t>
  </si>
  <si>
    <t>POJEZERJE</t>
  </si>
  <si>
    <t>POKUPSKO</t>
  </si>
  <si>
    <t>POLAČA</t>
  </si>
  <si>
    <t>POLIČNIK</t>
  </si>
  <si>
    <t>POPOVAC</t>
  </si>
  <si>
    <t>POPOVAČA</t>
  </si>
  <si>
    <t>POREČ - PARENZO</t>
  </si>
  <si>
    <t>POSEDARJE</t>
  </si>
  <si>
    <t>POSTIRA</t>
  </si>
  <si>
    <t>POVLJANA</t>
  </si>
  <si>
    <t>POŽEGA</t>
  </si>
  <si>
    <t>PREGRADA</t>
  </si>
  <si>
    <t>PREKO</t>
  </si>
  <si>
    <t>PRELOG</t>
  </si>
  <si>
    <t>PRESEKA</t>
  </si>
  <si>
    <t>PRGOMET</t>
  </si>
  <si>
    <t>PRIBISLAVEC</t>
  </si>
  <si>
    <t>PRIMORSKI DOLAC</t>
  </si>
  <si>
    <t>PRIMOŠTEN</t>
  </si>
  <si>
    <t>PRIVLAKA (VUKOVAR)</t>
  </si>
  <si>
    <t>PRIVLAKA (ZADAR)</t>
  </si>
  <si>
    <t>PROLOŽAC</t>
  </si>
  <si>
    <t>PROMINA</t>
  </si>
  <si>
    <t>PUČIŠĆA</t>
  </si>
  <si>
    <t>PULA - POLA</t>
  </si>
  <si>
    <t>PUNAT</t>
  </si>
  <si>
    <t>PUNITOVCI</t>
  </si>
  <si>
    <t>PUŠĆA</t>
  </si>
  <si>
    <t>RAB</t>
  </si>
  <si>
    <t>RADOBOJ</t>
  </si>
  <si>
    <t>RAKOVEC</t>
  </si>
  <si>
    <t>RAKOVICA</t>
  </si>
  <si>
    <t>RASINJA</t>
  </si>
  <si>
    <t>RAŠA</t>
  </si>
  <si>
    <t>RAVNA GORA</t>
  </si>
  <si>
    <t>RAŽANAC</t>
  </si>
  <si>
    <t>REŠETARI</t>
  </si>
  <si>
    <t>RIBNIK</t>
  </si>
  <si>
    <t>RIJEKA</t>
  </si>
  <si>
    <t>ROGOZNICA</t>
  </si>
  <si>
    <t>ROVINJ - ROVIGNO</t>
  </si>
  <si>
    <t>ROVIŠĆE</t>
  </si>
  <si>
    <t>RUGVICA</t>
  </si>
  <si>
    <t>RUNOVIĆI</t>
  </si>
  <si>
    <t>RUŽIĆ</t>
  </si>
  <si>
    <t>SABORSKO</t>
  </si>
  <si>
    <t>SALI</t>
  </si>
  <si>
    <t>SAMOBOR</t>
  </si>
  <si>
    <t>SATNICA ĐAKOVAČKA</t>
  </si>
  <si>
    <t>SEGET</t>
  </si>
  <si>
    <t>SELCA</t>
  </si>
  <si>
    <t>SELNICA</t>
  </si>
  <si>
    <t>SEMELJCI</t>
  </si>
  <si>
    <t>SENJ</t>
  </si>
  <si>
    <t>SEVERIN</t>
  </si>
  <si>
    <t>SIBINJ</t>
  </si>
  <si>
    <t>SIKIREVCI</t>
  </si>
  <si>
    <t>SINJ</t>
  </si>
  <si>
    <t>SIRAČ</t>
  </si>
  <si>
    <t>SISAK</t>
  </si>
  <si>
    <t>SKRAD</t>
  </si>
  <si>
    <t>SKRADIN</t>
  </si>
  <si>
    <t>SLATINA</t>
  </si>
  <si>
    <t>SLAVONSKI BROD</t>
  </si>
  <si>
    <t>SLAVONSKI ŠAMAC</t>
  </si>
  <si>
    <t>SLIVNO</t>
  </si>
  <si>
    <t>SLUNJ</t>
  </si>
  <si>
    <t>SMOKVICA</t>
  </si>
  <si>
    <t>SOKOLOVAC</t>
  </si>
  <si>
    <t>SOLIN</t>
  </si>
  <si>
    <t>SOPJE</t>
  </si>
  <si>
    <t>SPLIT</t>
  </si>
  <si>
    <t>SRAČINEC</t>
  </si>
  <si>
    <t>STANKOVCI</t>
  </si>
  <si>
    <t>STARA GRADIŠKA</t>
  </si>
  <si>
    <t>STARI GRAD</t>
  </si>
  <si>
    <t>STARI JANKOVCI</t>
  </si>
  <si>
    <t>STARI MIKANOVCI</t>
  </si>
  <si>
    <t>STARIGRAD</t>
  </si>
  <si>
    <t>STARO PETROVO SELO</t>
  </si>
  <si>
    <t>STON</t>
  </si>
  <si>
    <t>STRAHONINEC</t>
  </si>
  <si>
    <t>STRIZIVOJNA</t>
  </si>
  <si>
    <t>STUBIČKE TOPLICE</t>
  </si>
  <si>
    <t>STUPNIK</t>
  </si>
  <si>
    <t>SUĆURAJ</t>
  </si>
  <si>
    <t>SUHOPOLJE</t>
  </si>
  <si>
    <t>SUKOŠAN</t>
  </si>
  <si>
    <t>SUNJA</t>
  </si>
  <si>
    <t>SUPETAR</t>
  </si>
  <si>
    <t>SUTIVAN</t>
  </si>
  <si>
    <t>SVETA MARIJA</t>
  </si>
  <si>
    <t>SVETA NEDELJA (LABIN)</t>
  </si>
  <si>
    <t>SVETA NEDELJA (SAMOBOR)</t>
  </si>
  <si>
    <t>SVETI ĐURĐ</t>
  </si>
  <si>
    <t>SVETI FILIP I JAKOV</t>
  </si>
  <si>
    <t>SVETI ILIJA</t>
  </si>
  <si>
    <t>SVETI IVAN ZELINA</t>
  </si>
  <si>
    <t>SVETI IVAN ŽABNO</t>
  </si>
  <si>
    <t>SVETI JURAJ NA BREGU</t>
  </si>
  <si>
    <t>SVETI KRIŽ ZAČRETJE</t>
  </si>
  <si>
    <t>SVETI LOVREČ</t>
  </si>
  <si>
    <t>SVETI MARTIN NA MURI</t>
  </si>
  <si>
    <t>SVETI PETAR OREHOVEC</t>
  </si>
  <si>
    <t>SVETI PETAR U ŠUMI</t>
  </si>
  <si>
    <t>SVETVINČENAT</t>
  </si>
  <si>
    <t>ŠANDROVAC</t>
  </si>
  <si>
    <t>ŠENKOVEC</t>
  </si>
  <si>
    <t>ŠESTANOVAC</t>
  </si>
  <si>
    <t>ŠIBENIK</t>
  </si>
  <si>
    <t>ŠKABRNJA</t>
  </si>
  <si>
    <t>ŠODOLOVCI</t>
  </si>
  <si>
    <t>ŠOLTA</t>
  </si>
  <si>
    <t>ŠPIŠIĆ BUKOVICA</t>
  </si>
  <si>
    <t>ŠTEFANJE</t>
  </si>
  <si>
    <t>ŠTITAR</t>
  </si>
  <si>
    <t>ŠTRIGOVA</t>
  </si>
  <si>
    <t>TINJAN</t>
  </si>
  <si>
    <t>TISNO</t>
  </si>
  <si>
    <t>TKON</t>
  </si>
  <si>
    <t>TOMPOJEVCI</t>
  </si>
  <si>
    <t>TOPUSKO</t>
  </si>
  <si>
    <t>TORDINCI</t>
  </si>
  <si>
    <t>TOUNJ</t>
  </si>
  <si>
    <t>TOVARNIK</t>
  </si>
  <si>
    <t>TRIBUNJ</t>
  </si>
  <si>
    <t>TRILJ</t>
  </si>
  <si>
    <t>TRNAVA</t>
  </si>
  <si>
    <t>TRNOVEC BARTOLOVEČKI</t>
  </si>
  <si>
    <t>TROGIR</t>
  </si>
  <si>
    <t>TRPANJ</t>
  </si>
  <si>
    <t>TRPINJA</t>
  </si>
  <si>
    <t>TUČEPI</t>
  </si>
  <si>
    <t>TUHELJ</t>
  </si>
  <si>
    <t>UDBINA</t>
  </si>
  <si>
    <t>UMAG - UMAGO</t>
  </si>
  <si>
    <t>UNEŠIĆ</t>
  </si>
  <si>
    <t>VALPOVO</t>
  </si>
  <si>
    <t>VARAŽDIN</t>
  </si>
  <si>
    <t>VARAŽDINSKE TOPLICE</t>
  </si>
  <si>
    <t>VELA LUKA</t>
  </si>
  <si>
    <t>VELIKA</t>
  </si>
  <si>
    <t>VELIKA GORICA</t>
  </si>
  <si>
    <t>VELIKA KOPANICA</t>
  </si>
  <si>
    <t>VELIKA LUDINA</t>
  </si>
  <si>
    <t>VELIKA PISANICA</t>
  </si>
  <si>
    <t>VELIKA TRNOVITICA</t>
  </si>
  <si>
    <t>VELIKI BUKOVEC</t>
  </si>
  <si>
    <t>VELIKI GRĐEVAC</t>
  </si>
  <si>
    <t>VELIKO TRGOVIŠĆE</t>
  </si>
  <si>
    <t>VELIKO TROJSTVO</t>
  </si>
  <si>
    <t>VIDOVEC</t>
  </si>
  <si>
    <t>VILJEVO</t>
  </si>
  <si>
    <t>VINICA</t>
  </si>
  <si>
    <t>VINKOVCI</t>
  </si>
  <si>
    <t>VINODOLSKA OPĆINA</t>
  </si>
  <si>
    <t>VIR</t>
  </si>
  <si>
    <t>VIRJE</t>
  </si>
  <si>
    <t>VIROVITICA</t>
  </si>
  <si>
    <t>VIS</t>
  </si>
  <si>
    <t>VISOKO</t>
  </si>
  <si>
    <t>VIŠKOVCI</t>
  </si>
  <si>
    <t>VIŠKOVO</t>
  </si>
  <si>
    <t>VIŠNJAN - VISIGNANO</t>
  </si>
  <si>
    <t>VIŽINADA - VISINADA</t>
  </si>
  <si>
    <t>VLADISLAVCI</t>
  </si>
  <si>
    <t>VOĆIN</t>
  </si>
  <si>
    <t>VODICE</t>
  </si>
  <si>
    <t>VODNJAN - DIGNANO</t>
  </si>
  <si>
    <t>VOĐINCI</t>
  </si>
  <si>
    <t>VOJNIĆ</t>
  </si>
  <si>
    <t>VRATIŠINEC</t>
  </si>
  <si>
    <t>VRBANJA</t>
  </si>
  <si>
    <t>VRBJE</t>
  </si>
  <si>
    <t>VRBNIK</t>
  </si>
  <si>
    <t>VRBOVEC</t>
  </si>
  <si>
    <t>VRBOVSKO</t>
  </si>
  <si>
    <t>VRGORAC</t>
  </si>
  <si>
    <t>VRHOVINE</t>
  </si>
  <si>
    <t>VRLIKA</t>
  </si>
  <si>
    <t>VRPOLJE</t>
  </si>
  <si>
    <t>VRSAR - ORSERA</t>
  </si>
  <si>
    <t>VRSI</t>
  </si>
  <si>
    <t>VUKA</t>
  </si>
  <si>
    <t>VUKOVAR</t>
  </si>
  <si>
    <t>ZABOK</t>
  </si>
  <si>
    <t>ZADAR</t>
  </si>
  <si>
    <t>ZADVARJE</t>
  </si>
  <si>
    <t>ZAGORSKA SELA</t>
  </si>
  <si>
    <t>ZAGREB</t>
  </si>
  <si>
    <t>ZAGVOZD</t>
  </si>
  <si>
    <t>ZAPREŠIĆ</t>
  </si>
  <si>
    <t>ZAŽABLJE</t>
  </si>
  <si>
    <t>ZDENCI</t>
  </si>
  <si>
    <t>ZEMUNIK DONJI</t>
  </si>
  <si>
    <t>ZLATAR</t>
  </si>
  <si>
    <t>ZLATAR BISTRICA</t>
  </si>
  <si>
    <t>ZMIJAVCI</t>
  </si>
  <si>
    <t>ZRINSKI TOPOLOVAC</t>
  </si>
  <si>
    <t>ŽAKANJE</t>
  </si>
  <si>
    <t>ŽMINJ</t>
  </si>
  <si>
    <t>ŽUMBERAK</t>
  </si>
  <si>
    <t>ŽUPA DUBROVAČKA</t>
  </si>
  <si>
    <t>ŽUPANJA</t>
  </si>
  <si>
    <t>KAŠTELIR-LABINCI</t>
  </si>
  <si>
    <t>TAR-VABRIGA</t>
  </si>
  <si>
    <t>Osnovica doprinosa</t>
  </si>
  <si>
    <t>Umanjenje</t>
  </si>
  <si>
    <t>Ugovor o radu</t>
  </si>
  <si>
    <t>6.</t>
  </si>
  <si>
    <t>Razdoblje obračuna</t>
  </si>
  <si>
    <t>Bruto</t>
  </si>
  <si>
    <t>Isplata za mj./god.</t>
  </si>
  <si>
    <t>Plaća</t>
  </si>
  <si>
    <t>Isplaćena plaća</t>
  </si>
  <si>
    <t>Broj sati</t>
  </si>
  <si>
    <t>provedenih na radu</t>
  </si>
  <si>
    <t>puno vrijeme</t>
  </si>
  <si>
    <t>prekovremeno</t>
  </si>
  <si>
    <t>na teret HZZO</t>
  </si>
  <si>
    <t>god.odmor</t>
  </si>
  <si>
    <t>bolovanje</t>
  </si>
  <si>
    <t>Mjesec obračuna</t>
  </si>
  <si>
    <t>Broj mjeseci</t>
  </si>
  <si>
    <t>ukupno</t>
  </si>
  <si>
    <t>mjesečni fond</t>
  </si>
  <si>
    <t>odsutnost(na teret poslodavca)</t>
  </si>
  <si>
    <t>Na teret</t>
  </si>
  <si>
    <t>Neto</t>
  </si>
  <si>
    <t>Bruto satna osnovica</t>
  </si>
  <si>
    <t>Neto satna osn.</t>
  </si>
  <si>
    <t>Sati-HZZO</t>
  </si>
  <si>
    <t>Sati-poslodavac</t>
  </si>
  <si>
    <t>Naknada poslodavca</t>
  </si>
  <si>
    <t>Naknada HZZO</t>
  </si>
  <si>
    <t>% osnovice(poslodavac)</t>
  </si>
  <si>
    <t>Uvjet pret. osig.</t>
  </si>
  <si>
    <t>Utvrđena osn.</t>
  </si>
  <si>
    <t>DATUM</t>
  </si>
  <si>
    <t>SATI</t>
  </si>
  <si>
    <t>P/B</t>
  </si>
  <si>
    <t>prazn./blag.</t>
  </si>
  <si>
    <t>HZZO(bol)</t>
  </si>
  <si>
    <t>HZZO(njega)</t>
  </si>
  <si>
    <t>HZZO(njega-7)</t>
  </si>
  <si>
    <t>NAKNADA</t>
  </si>
  <si>
    <t>OSNOVA</t>
  </si>
  <si>
    <t>HZZO(ozljeda)</t>
  </si>
  <si>
    <t>UKUPNA NAKNADA</t>
  </si>
  <si>
    <t>UKUPNI SATI</t>
  </si>
  <si>
    <t>Rad</t>
  </si>
  <si>
    <t>Bolovanje</t>
  </si>
  <si>
    <t>GO</t>
  </si>
  <si>
    <t>LISTA</t>
  </si>
  <si>
    <t>Nema obračuna</t>
  </si>
  <si>
    <t>Ograničenje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</si>
</sst>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%"/>
    <numFmt numFmtId="165" formatCode="0.00000"/>
  </numFmts>
  <fonts count="10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EB9C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99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5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/>
      <right/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theme="0"/>
      </right>
      <top style="thin">
        <color auto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2" fillId="5" borderId="0" applyNumberFormat="0" applyBorder="0" applyAlignment="0" applyProtection="0"/>
    <xf numFmtId="0" fontId="6" fillId="0" borderId="0"/>
    <xf numFmtId="0" fontId="7" fillId="10" borderId="10" applyNumberFormat="0" applyAlignment="0" applyProtection="0"/>
    <xf numFmtId="0" fontId="3" fillId="12" borderId="0" applyNumberFormat="0" applyBorder="0" applyAlignment="0" applyProtection="0"/>
  </cellStyleXfs>
  <cellXfs count="111">
    <xf numFmtId="0" fontId="0" fillId="0" borderId="0" xfId="0"/>
    <xf numFmtId="0" fontId="0" fillId="0" borderId="0" xfId="0" applyProtection="1">
      <protection locked="0"/>
    </xf>
    <xf numFmtId="0" fontId="1" fillId="2" borderId="0" xfId="1" applyAlignment="1" applyProtection="1">
      <alignment horizontal="center"/>
      <protection hidden="1"/>
    </xf>
    <xf numFmtId="0" fontId="1" fillId="2" borderId="0" xfId="1" applyProtection="1">
      <protection hidden="1"/>
    </xf>
    <xf numFmtId="0" fontId="0" fillId="0" borderId="0" xfId="0" applyProtection="1">
      <protection hidden="1"/>
    </xf>
    <xf numFmtId="4" fontId="0" fillId="0" borderId="0" xfId="0" applyNumberFormat="1" applyProtection="1">
      <protection hidden="1"/>
    </xf>
    <xf numFmtId="0" fontId="0" fillId="4" borderId="0" xfId="0" applyFill="1" applyAlignment="1" applyProtection="1">
      <alignment horizontal="center"/>
      <protection hidden="1"/>
    </xf>
    <xf numFmtId="0" fontId="0" fillId="3" borderId="1" xfId="0" applyFill="1" applyBorder="1" applyAlignment="1" applyProtection="1">
      <alignment horizontal="center"/>
      <protection locked="0"/>
    </xf>
    <xf numFmtId="9" fontId="0" fillId="0" borderId="0" xfId="0" applyNumberFormat="1" applyAlignment="1" applyProtection="1">
      <alignment horizontal="center"/>
      <protection hidden="1"/>
    </xf>
    <xf numFmtId="164" fontId="0" fillId="0" borderId="0" xfId="0" applyNumberFormat="1" applyAlignment="1" applyProtection="1">
      <alignment horizontal="center"/>
      <protection hidden="1"/>
    </xf>
    <xf numFmtId="0" fontId="3" fillId="5" borderId="1" xfId="2" applyFont="1" applyBorder="1" applyAlignment="1" applyProtection="1">
      <alignment horizontal="center"/>
      <protection locked="0"/>
    </xf>
    <xf numFmtId="0" fontId="4" fillId="8" borderId="3" xfId="0" applyFont="1" applyFill="1" applyBorder="1" applyAlignment="1" applyProtection="1">
      <alignment horizontal="left" vertical="center" wrapText="1" indent="1"/>
      <protection hidden="1"/>
    </xf>
    <xf numFmtId="0" fontId="4" fillId="8" borderId="4" xfId="0" applyFont="1" applyFill="1" applyBorder="1" applyAlignment="1" applyProtection="1">
      <alignment horizontal="left" vertical="center" wrapText="1" indent="1"/>
      <protection hidden="1"/>
    </xf>
    <xf numFmtId="0" fontId="4" fillId="8" borderId="5" xfId="0" applyFont="1" applyFill="1" applyBorder="1" applyAlignment="1" applyProtection="1">
      <alignment horizontal="left" vertical="center" wrapText="1" indent="1"/>
      <protection hidden="1"/>
    </xf>
    <xf numFmtId="0" fontId="5" fillId="7" borderId="6" xfId="0" applyFont="1" applyFill="1" applyBorder="1" applyAlignment="1" applyProtection="1">
      <alignment horizontal="left" vertical="center" indent="1"/>
      <protection hidden="1"/>
    </xf>
    <xf numFmtId="9" fontId="5" fillId="7" borderId="2" xfId="0" applyNumberFormat="1" applyFont="1" applyFill="1" applyBorder="1" applyAlignment="1" applyProtection="1">
      <alignment horizontal="left" vertical="center" indent="1"/>
      <protection hidden="1"/>
    </xf>
    <xf numFmtId="9" fontId="5" fillId="7" borderId="7" xfId="0" applyNumberFormat="1" applyFont="1" applyFill="1" applyBorder="1" applyAlignment="1" applyProtection="1">
      <alignment horizontal="left" vertical="center" indent="1"/>
      <protection hidden="1"/>
    </xf>
    <xf numFmtId="9" fontId="0" fillId="9" borderId="1" xfId="0" applyNumberFormat="1" applyFill="1" applyBorder="1" applyAlignment="1" applyProtection="1">
      <alignment horizontal="center"/>
      <protection locked="0"/>
    </xf>
    <xf numFmtId="0" fontId="0" fillId="9" borderId="1" xfId="0" applyFill="1" applyBorder="1" applyAlignment="1" applyProtection="1">
      <alignment horizontal="center"/>
      <protection locked="0"/>
    </xf>
    <xf numFmtId="2" fontId="0" fillId="0" borderId="0" xfId="0" applyNumberFormat="1" applyProtection="1">
      <protection hidden="1"/>
    </xf>
    <xf numFmtId="0" fontId="8" fillId="11" borderId="0" xfId="0" applyFont="1" applyFill="1" applyProtection="1">
      <protection hidden="1"/>
    </xf>
    <xf numFmtId="0" fontId="0" fillId="4" borderId="30" xfId="0" applyFill="1" applyBorder="1" applyAlignment="1" applyProtection="1">
      <alignment horizontal="center"/>
      <protection hidden="1"/>
    </xf>
    <xf numFmtId="2" fontId="0" fillId="4" borderId="31" xfId="0" applyNumberFormat="1" applyFill="1" applyBorder="1" applyAlignment="1" applyProtection="1">
      <alignment horizontal="center"/>
      <protection hidden="1"/>
    </xf>
    <xf numFmtId="0" fontId="8" fillId="11" borderId="17" xfId="0" applyFont="1" applyFill="1" applyBorder="1" applyAlignment="1" applyProtection="1">
      <alignment horizontal="center" vertical="center"/>
      <protection hidden="1"/>
    </xf>
    <xf numFmtId="17" fontId="2" fillId="5" borderId="11" xfId="2" applyNumberFormat="1" applyBorder="1" applyAlignment="1" applyProtection="1">
      <alignment horizontal="center"/>
      <protection hidden="1"/>
    </xf>
    <xf numFmtId="17" fontId="2" fillId="5" borderId="14" xfId="2" applyNumberFormat="1" applyBorder="1" applyAlignment="1" applyProtection="1">
      <alignment horizontal="center"/>
      <protection hidden="1"/>
    </xf>
    <xf numFmtId="17" fontId="2" fillId="5" borderId="20" xfId="2" applyNumberFormat="1" applyBorder="1" applyAlignment="1" applyProtection="1">
      <alignment horizontal="center"/>
      <protection hidden="1"/>
    </xf>
    <xf numFmtId="17" fontId="2" fillId="5" borderId="16" xfId="2" applyNumberFormat="1" applyBorder="1" applyAlignment="1" applyProtection="1">
      <alignment horizontal="center"/>
      <protection hidden="1"/>
    </xf>
    <xf numFmtId="0" fontId="2" fillId="5" borderId="12" xfId="2" applyBorder="1" applyAlignment="1" applyProtection="1">
      <alignment horizontal="center"/>
      <protection hidden="1"/>
    </xf>
    <xf numFmtId="0" fontId="2" fillId="5" borderId="13" xfId="2" applyBorder="1" applyAlignment="1" applyProtection="1">
      <alignment horizontal="center"/>
      <protection hidden="1"/>
    </xf>
    <xf numFmtId="0" fontId="2" fillId="5" borderId="15" xfId="2" applyBorder="1" applyAlignment="1" applyProtection="1">
      <alignment horizontal="center"/>
      <protection hidden="1"/>
    </xf>
    <xf numFmtId="0" fontId="2" fillId="5" borderId="23" xfId="2" applyBorder="1" applyAlignment="1" applyProtection="1">
      <alignment horizontal="center"/>
      <protection hidden="1"/>
    </xf>
    <xf numFmtId="0" fontId="2" fillId="5" borderId="26" xfId="2" applyBorder="1" applyAlignment="1" applyProtection="1">
      <alignment horizontal="center"/>
      <protection hidden="1"/>
    </xf>
    <xf numFmtId="0" fontId="8" fillId="11" borderId="8" xfId="0" applyFont="1" applyFill="1" applyBorder="1" applyProtection="1">
      <protection hidden="1"/>
    </xf>
    <xf numFmtId="0" fontId="8" fillId="11" borderId="30" xfId="0" applyFont="1" applyFill="1" applyBorder="1" applyProtection="1">
      <protection hidden="1"/>
    </xf>
    <xf numFmtId="0" fontId="8" fillId="11" borderId="31" xfId="0" applyFont="1" applyFill="1" applyBorder="1" applyProtection="1">
      <protection hidden="1"/>
    </xf>
    <xf numFmtId="2" fontId="0" fillId="4" borderId="30" xfId="0" applyNumberFormat="1" applyFill="1" applyBorder="1" applyAlignment="1" applyProtection="1">
      <alignment horizontal="center"/>
      <protection hidden="1"/>
    </xf>
    <xf numFmtId="0" fontId="8" fillId="11" borderId="28" xfId="0" applyFont="1" applyFill="1" applyBorder="1" applyProtection="1">
      <protection hidden="1"/>
    </xf>
    <xf numFmtId="17" fontId="9" fillId="12" borderId="8" xfId="5" applyNumberFormat="1" applyFont="1" applyBorder="1" applyAlignment="1" applyProtection="1">
      <alignment horizontal="center"/>
      <protection hidden="1"/>
    </xf>
    <xf numFmtId="0" fontId="2" fillId="5" borderId="12" xfId="2" applyNumberFormat="1" applyBorder="1" applyAlignment="1" applyProtection="1">
      <alignment horizontal="center"/>
      <protection hidden="1"/>
    </xf>
    <xf numFmtId="0" fontId="2" fillId="5" borderId="23" xfId="2" applyNumberFormat="1" applyBorder="1" applyAlignment="1" applyProtection="1">
      <alignment horizontal="center"/>
      <protection hidden="1"/>
    </xf>
    <xf numFmtId="0" fontId="9" fillId="4" borderId="1" xfId="0" applyFont="1" applyFill="1" applyBorder="1" applyAlignment="1" applyProtection="1">
      <alignment horizontal="center"/>
      <protection hidden="1"/>
    </xf>
    <xf numFmtId="0" fontId="9" fillId="4" borderId="31" xfId="0" applyFont="1" applyFill="1" applyBorder="1" applyAlignment="1" applyProtection="1">
      <alignment horizontal="center"/>
      <protection hidden="1"/>
    </xf>
    <xf numFmtId="2" fontId="0" fillId="4" borderId="8" xfId="0" applyNumberFormat="1" applyFill="1" applyBorder="1" applyAlignment="1" applyProtection="1">
      <alignment horizontal="center"/>
      <protection hidden="1"/>
    </xf>
    <xf numFmtId="43" fontId="2" fillId="5" borderId="12" xfId="2" applyNumberFormat="1" applyBorder="1" applyProtection="1">
      <protection locked="0"/>
    </xf>
    <xf numFmtId="0" fontId="2" fillId="5" borderId="1" xfId="2" applyBorder="1" applyAlignment="1" applyProtection="1">
      <alignment horizontal="center"/>
      <protection locked="0"/>
    </xf>
    <xf numFmtId="4" fontId="0" fillId="3" borderId="1" xfId="0" applyNumberFormat="1" applyFill="1" applyBorder="1" applyProtection="1">
      <protection locked="0"/>
    </xf>
    <xf numFmtId="0" fontId="2" fillId="5" borderId="19" xfId="2" applyBorder="1" applyAlignment="1" applyProtection="1">
      <alignment horizontal="center"/>
      <protection hidden="1"/>
    </xf>
    <xf numFmtId="0" fontId="2" fillId="5" borderId="27" xfId="2" applyBorder="1" applyAlignment="1" applyProtection="1">
      <alignment horizontal="center"/>
      <protection hidden="1"/>
    </xf>
    <xf numFmtId="2" fontId="0" fillId="4" borderId="1" xfId="0" applyNumberFormat="1" applyFill="1" applyBorder="1" applyAlignment="1" applyProtection="1">
      <alignment horizontal="center"/>
      <protection hidden="1"/>
    </xf>
    <xf numFmtId="43" fontId="2" fillId="5" borderId="23" xfId="2" applyNumberFormat="1" applyBorder="1" applyProtection="1">
      <protection locked="0"/>
    </xf>
    <xf numFmtId="0" fontId="2" fillId="5" borderId="17" xfId="2" applyBorder="1" applyAlignment="1" applyProtection="1">
      <alignment horizontal="center"/>
      <protection hidden="1"/>
    </xf>
    <xf numFmtId="0" fontId="2" fillId="5" borderId="21" xfId="2" applyBorder="1" applyAlignment="1" applyProtection="1">
      <alignment horizontal="center"/>
      <protection hidden="1"/>
    </xf>
    <xf numFmtId="0" fontId="2" fillId="6" borderId="0" xfId="2" applyFill="1" applyAlignment="1" applyProtection="1">
      <alignment horizontal="center"/>
      <protection hidden="1"/>
    </xf>
    <xf numFmtId="0" fontId="2" fillId="5" borderId="0" xfId="2" applyProtection="1">
      <protection hidden="1"/>
    </xf>
    <xf numFmtId="17" fontId="2" fillId="6" borderId="0" xfId="2" applyNumberFormat="1" applyFill="1" applyAlignment="1" applyProtection="1">
      <alignment horizontal="center"/>
      <protection hidden="1"/>
    </xf>
    <xf numFmtId="0" fontId="2" fillId="6" borderId="22" xfId="2" applyFill="1" applyBorder="1" applyAlignment="1" applyProtection="1">
      <alignment horizontal="center"/>
      <protection hidden="1"/>
    </xf>
    <xf numFmtId="17" fontId="2" fillId="6" borderId="19" xfId="2" applyNumberFormat="1" applyFill="1" applyBorder="1" applyAlignment="1" applyProtection="1">
      <alignment horizontal="center"/>
      <protection hidden="1"/>
    </xf>
    <xf numFmtId="0" fontId="2" fillId="6" borderId="19" xfId="2" applyFill="1" applyBorder="1" applyAlignment="1" applyProtection="1">
      <alignment horizontal="center"/>
      <protection hidden="1"/>
    </xf>
    <xf numFmtId="14" fontId="0" fillId="0" borderId="0" xfId="0" applyNumberFormat="1" applyProtection="1">
      <protection hidden="1"/>
    </xf>
    <xf numFmtId="0" fontId="3" fillId="12" borderId="0" xfId="5" applyAlignment="1" applyProtection="1">
      <protection hidden="1"/>
    </xf>
    <xf numFmtId="0" fontId="0" fillId="6" borderId="0" xfId="0" quotePrefix="1" applyFill="1" applyProtection="1">
      <protection hidden="1"/>
    </xf>
    <xf numFmtId="2" fontId="0" fillId="6" borderId="0" xfId="0" applyNumberFormat="1" applyFill="1" applyProtection="1">
      <protection hidden="1"/>
    </xf>
    <xf numFmtId="0" fontId="0" fillId="6" borderId="0" xfId="0" applyFill="1" applyProtection="1">
      <protection hidden="1"/>
    </xf>
    <xf numFmtId="17" fontId="0" fillId="0" borderId="0" xfId="0" applyNumberFormat="1" applyProtection="1">
      <protection hidden="1"/>
    </xf>
    <xf numFmtId="165" fontId="0" fillId="0" borderId="0" xfId="0" applyNumberFormat="1" applyProtection="1">
      <protection hidden="1"/>
    </xf>
    <xf numFmtId="0" fontId="0" fillId="0" borderId="0" xfId="0" applyAlignment="1" applyProtection="1">
      <alignment horizontal="center"/>
      <protection hidden="1"/>
    </xf>
    <xf numFmtId="2" fontId="0" fillId="0" borderId="0" xfId="0" applyNumberFormat="1" applyAlignment="1" applyProtection="1">
      <alignment horizontal="center"/>
      <protection hidden="1"/>
    </xf>
    <xf numFmtId="0" fontId="0" fillId="0" borderId="0" xfId="0" quotePrefix="1" applyAlignment="1" applyProtection="1">
      <alignment horizontal="left"/>
      <protection hidden="1"/>
    </xf>
    <xf numFmtId="49" fontId="0" fillId="0" borderId="0" xfId="0" applyNumberFormat="1" applyAlignment="1" applyProtection="1">
      <alignment horizontal="center" vertical="center"/>
      <protection hidden="1"/>
    </xf>
    <xf numFmtId="0" fontId="0" fillId="0" borderId="0" xfId="0" quotePrefix="1" applyProtection="1">
      <protection hidden="1"/>
    </xf>
    <xf numFmtId="0" fontId="0" fillId="0" borderId="0" xfId="0" applyAlignment="1" applyProtection="1">
      <alignment horizontal="left"/>
      <protection hidden="1"/>
    </xf>
    <xf numFmtId="9" fontId="0" fillId="0" borderId="0" xfId="0" applyNumberFormat="1" applyProtection="1">
      <protection hidden="1"/>
    </xf>
    <xf numFmtId="2" fontId="0" fillId="0" borderId="0" xfId="0" applyNumberFormat="1" applyAlignment="1" applyProtection="1">
      <alignment horizontal="left"/>
      <protection hidden="1"/>
    </xf>
    <xf numFmtId="17" fontId="0" fillId="0" borderId="0" xfId="0" applyNumberFormat="1" applyAlignment="1" applyProtection="1">
      <alignment horizontal="center"/>
      <protection hidden="1"/>
    </xf>
    <xf numFmtId="0" fontId="0" fillId="4" borderId="0" xfId="0" applyFill="1" applyAlignment="1" applyProtection="1">
      <alignment horizontal="center" vertical="center"/>
      <protection hidden="1"/>
    </xf>
    <xf numFmtId="0" fontId="1" fillId="2" borderId="0" xfId="1" applyAlignment="1" applyProtection="1">
      <alignment horizontal="center" vertical="center"/>
      <protection hidden="1"/>
    </xf>
    <xf numFmtId="49" fontId="7" fillId="10" borderId="10" xfId="4" applyNumberFormat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hidden="1"/>
    </xf>
    <xf numFmtId="0" fontId="3" fillId="12" borderId="0" xfId="5" applyAlignment="1" applyProtection="1">
      <alignment horizontal="left"/>
      <protection hidden="1"/>
    </xf>
    <xf numFmtId="14" fontId="3" fillId="12" borderId="0" xfId="5" applyNumberFormat="1" applyAlignment="1" applyProtection="1">
      <protection hidden="1"/>
    </xf>
    <xf numFmtId="0" fontId="8" fillId="11" borderId="17" xfId="0" applyFont="1" applyFill="1" applyBorder="1" applyAlignment="1" applyProtection="1">
      <alignment horizontal="center" vertical="center"/>
      <protection hidden="1"/>
    </xf>
    <xf numFmtId="0" fontId="8" fillId="11" borderId="12" xfId="0" applyFont="1" applyFill="1" applyBorder="1" applyAlignment="1" applyProtection="1">
      <alignment horizontal="center" vertical="center"/>
      <protection hidden="1"/>
    </xf>
    <xf numFmtId="0" fontId="8" fillId="11" borderId="18" xfId="0" applyFont="1" applyFill="1" applyBorder="1" applyAlignment="1" applyProtection="1">
      <alignment horizontal="center" vertical="center"/>
      <protection hidden="1"/>
    </xf>
    <xf numFmtId="0" fontId="8" fillId="11" borderId="25" xfId="0" applyFont="1" applyFill="1" applyBorder="1" applyAlignment="1" applyProtection="1">
      <alignment horizontal="center" vertical="center"/>
      <protection hidden="1"/>
    </xf>
    <xf numFmtId="0" fontId="8" fillId="11" borderId="13" xfId="0" applyFont="1" applyFill="1" applyBorder="1" applyAlignment="1" applyProtection="1">
      <alignment horizontal="center" vertical="center"/>
      <protection hidden="1"/>
    </xf>
    <xf numFmtId="0" fontId="8" fillId="11" borderId="36" xfId="0" applyFont="1" applyFill="1" applyBorder="1" applyAlignment="1" applyProtection="1">
      <alignment horizontal="center" vertical="center"/>
      <protection hidden="1"/>
    </xf>
    <xf numFmtId="0" fontId="8" fillId="11" borderId="37" xfId="0" applyFont="1" applyFill="1" applyBorder="1" applyAlignment="1" applyProtection="1">
      <alignment horizontal="center" vertical="center"/>
      <protection hidden="1"/>
    </xf>
    <xf numFmtId="0" fontId="8" fillId="11" borderId="38" xfId="0" applyFont="1" applyFill="1" applyBorder="1" applyAlignment="1" applyProtection="1">
      <alignment horizontal="center" vertical="center"/>
      <protection hidden="1"/>
    </xf>
    <xf numFmtId="0" fontId="8" fillId="11" borderId="14" xfId="0" applyFont="1" applyFill="1" applyBorder="1" applyAlignment="1" applyProtection="1">
      <alignment horizontal="center" vertical="center"/>
      <protection hidden="1"/>
    </xf>
    <xf numFmtId="0" fontId="8" fillId="11" borderId="24" xfId="0" applyFont="1" applyFill="1" applyBorder="1" applyAlignment="1" applyProtection="1">
      <alignment horizontal="center" vertical="center"/>
      <protection hidden="1"/>
    </xf>
    <xf numFmtId="0" fontId="8" fillId="11" borderId="33" xfId="0" applyFont="1" applyFill="1" applyBorder="1" applyAlignment="1" applyProtection="1">
      <alignment horizontal="left"/>
      <protection hidden="1"/>
    </xf>
    <xf numFmtId="0" fontId="8" fillId="11" borderId="22" xfId="0" applyFont="1" applyFill="1" applyBorder="1" applyAlignment="1" applyProtection="1">
      <alignment horizontal="left"/>
      <protection hidden="1"/>
    </xf>
    <xf numFmtId="0" fontId="8" fillId="11" borderId="11" xfId="0" applyFont="1" applyFill="1" applyBorder="1" applyAlignment="1" applyProtection="1">
      <alignment horizontal="center" vertical="center" wrapText="1"/>
      <protection hidden="1"/>
    </xf>
    <xf numFmtId="0" fontId="8" fillId="11" borderId="14" xfId="0" applyFont="1" applyFill="1" applyBorder="1" applyAlignment="1" applyProtection="1">
      <alignment horizontal="center" vertical="center" wrapText="1"/>
      <protection hidden="1"/>
    </xf>
    <xf numFmtId="0" fontId="8" fillId="11" borderId="16" xfId="0" applyFont="1" applyFill="1" applyBorder="1" applyAlignment="1" applyProtection="1">
      <alignment horizontal="center" vertical="center" wrapText="1"/>
      <protection hidden="1"/>
    </xf>
    <xf numFmtId="0" fontId="8" fillId="11" borderId="15" xfId="0" applyFont="1" applyFill="1" applyBorder="1" applyAlignment="1" applyProtection="1">
      <alignment horizontal="center" vertical="center"/>
      <protection hidden="1"/>
    </xf>
    <xf numFmtId="0" fontId="8" fillId="11" borderId="12" xfId="0" applyFont="1" applyFill="1" applyBorder="1" applyAlignment="1" applyProtection="1">
      <alignment horizontal="center" vertical="center" wrapText="1"/>
      <protection hidden="1"/>
    </xf>
    <xf numFmtId="0" fontId="8" fillId="11" borderId="15" xfId="0" applyFont="1" applyFill="1" applyBorder="1" applyAlignment="1" applyProtection="1">
      <alignment horizontal="center" vertical="center" wrapText="1"/>
      <protection hidden="1"/>
    </xf>
    <xf numFmtId="0" fontId="8" fillId="11" borderId="17" xfId="0" applyFont="1" applyFill="1" applyBorder="1" applyAlignment="1" applyProtection="1">
      <alignment horizontal="center" vertical="center" wrapText="1"/>
      <protection hidden="1"/>
    </xf>
    <xf numFmtId="0" fontId="8" fillId="11" borderId="0" xfId="0" applyFont="1" applyFill="1" applyAlignment="1" applyProtection="1">
      <alignment horizontal="left"/>
      <protection hidden="1"/>
    </xf>
    <xf numFmtId="0" fontId="8" fillId="11" borderId="28" xfId="0" applyFont="1" applyFill="1" applyBorder="1" applyAlignment="1" applyProtection="1">
      <alignment horizontal="left"/>
      <protection hidden="1"/>
    </xf>
    <xf numFmtId="0" fontId="8" fillId="11" borderId="32" xfId="0" applyFont="1" applyFill="1" applyBorder="1" applyAlignment="1" applyProtection="1">
      <alignment horizontal="left"/>
      <protection hidden="1"/>
    </xf>
    <xf numFmtId="0" fontId="9" fillId="4" borderId="9" xfId="0" applyFont="1" applyFill="1" applyBorder="1" applyAlignment="1" applyProtection="1">
      <alignment horizontal="center"/>
      <protection hidden="1"/>
    </xf>
    <xf numFmtId="0" fontId="9" fillId="4" borderId="29" xfId="0" applyFont="1" applyFill="1" applyBorder="1" applyAlignment="1" applyProtection="1">
      <alignment horizontal="center"/>
      <protection hidden="1"/>
    </xf>
    <xf numFmtId="0" fontId="9" fillId="4" borderId="34" xfId="0" applyFont="1" applyFill="1" applyBorder="1" applyAlignment="1" applyProtection="1">
      <alignment horizontal="center"/>
      <protection hidden="1"/>
    </xf>
    <xf numFmtId="2" fontId="0" fillId="4" borderId="35" xfId="0" applyNumberFormat="1" applyFill="1" applyBorder="1" applyAlignment="1" applyProtection="1">
      <alignment horizontal="center"/>
      <protection hidden="1"/>
    </xf>
    <xf numFmtId="2" fontId="0" fillId="4" borderId="27" xfId="0" applyNumberFormat="1" applyFill="1" applyBorder="1" applyAlignment="1" applyProtection="1">
      <alignment horizontal="center"/>
      <protection hidden="1"/>
    </xf>
    <xf numFmtId="0" fontId="0" fillId="4" borderId="32" xfId="0" applyFill="1" applyBorder="1" applyAlignment="1" applyProtection="1">
      <alignment horizontal="center"/>
      <protection hidden="1"/>
    </xf>
    <xf numFmtId="0" fontId="0" fillId="4" borderId="28" xfId="0" applyFill="1" applyBorder="1" applyAlignment="1" applyProtection="1">
      <alignment horizontal="center"/>
      <protection hidden="1"/>
    </xf>
    <xf numFmtId="49" fontId="0" fillId="0" borderId="0" xfId="0" applyNumberFormat="1" applyAlignment="1" applyProtection="1">
      <alignment horizontal="center" vertical="center"/>
      <protection hidden="1"/>
    </xf>
  </cellXfs>
  <cellStyles count="6">
    <cellStyle name="40% - Accent1" xfId="5" builtinId="31"/>
    <cellStyle name="Good" xfId="1" builtinId="26"/>
    <cellStyle name="Input" xfId="4" builtinId="20"/>
    <cellStyle name="Neutral" xfId="2" builtinId="28"/>
    <cellStyle name="Normal" xfId="0" builtinId="0"/>
    <cellStyle name="Normal 2" xfId="3" xr:uid="{8610F0BE-B16B-4673-9AD7-59551B0613C7}"/>
  </cellStyles>
  <dxfs count="6"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b/>
        <i val="0"/>
      </font>
    </dxf>
    <dxf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0</xdr:rowOff>
    </xdr:from>
    <xdr:to>
      <xdr:col>6</xdr:col>
      <xdr:colOff>682625</xdr:colOff>
      <xdr:row>1</xdr:row>
      <xdr:rowOff>165100</xdr:rowOff>
    </xdr:to>
    <xdr:sp macro="" textlink="">
      <xdr:nvSpPr>
        <xdr:cNvPr id="2" name="btnAddCard">
          <a:extLst>
            <a:ext uri="{FF2B5EF4-FFF2-40B4-BE49-F238E27FC236}">
              <a16:creationId xmlns:a16="http://schemas.microsoft.com/office/drawing/2014/main" id="{73AC8B4F-D14E-0C3F-E0F5-9DE445AE291F}"/>
            </a:ext>
          </a:extLst>
        </xdr:cNvPr>
        <xdr:cNvSpPr/>
      </xdr:nvSpPr>
      <xdr:spPr>
        <a:xfrm>
          <a:off x="3600450" y="0"/>
          <a:ext cx="1397000" cy="355600"/>
        </a:xfrm>
        <a:prstGeom prst="roundRect">
          <a:avLst/>
        </a:prstGeom>
        <a:solidFill>
          <a:srgbClr val="BFBFBF"/>
        </a:solidFill>
        <a:ln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00" b="1">
              <a:solidFill>
                <a:srgbClr val="646464"/>
              </a:solidFill>
            </a:rPr>
            <a:t>Dodaj karticu</a:t>
          </a:r>
        </a:p>
      </xdr:txBody>
    </xdr:sp>
    <xdr:clientData/>
  </xdr:twoCellAnchor>
  <xdr:twoCellAnchor editAs="oneCell">
    <xdr:from>
      <xdr:col>5</xdr:col>
      <xdr:colOff>0</xdr:colOff>
      <xdr:row>2</xdr:row>
      <xdr:rowOff>0</xdr:rowOff>
    </xdr:from>
    <xdr:to>
      <xdr:col>6</xdr:col>
      <xdr:colOff>682625</xdr:colOff>
      <xdr:row>3</xdr:row>
      <xdr:rowOff>165100</xdr:rowOff>
    </xdr:to>
    <xdr:sp macro="" textlink="">
      <xdr:nvSpPr>
        <xdr:cNvPr id="3" name="btnRemoveCard">
          <a:extLst>
            <a:ext uri="{FF2B5EF4-FFF2-40B4-BE49-F238E27FC236}">
              <a16:creationId xmlns:a16="http://schemas.microsoft.com/office/drawing/2014/main" id="{61430481-4604-E976-AE95-7FB5A54E2DDD}"/>
            </a:ext>
          </a:extLst>
        </xdr:cNvPr>
        <xdr:cNvSpPr/>
      </xdr:nvSpPr>
      <xdr:spPr>
        <a:xfrm>
          <a:off x="3600450" y="381000"/>
          <a:ext cx="1397000" cy="355600"/>
        </a:xfrm>
        <a:prstGeom prst="roundRect">
          <a:avLst/>
        </a:prstGeom>
        <a:solidFill>
          <a:srgbClr val="BFBFBF"/>
        </a:solidFill>
        <a:ln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00" b="1">
              <a:solidFill>
                <a:srgbClr val="646464"/>
              </a:solidFill>
            </a:rPr>
            <a:t>Ukloni karticu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arko Horvat" id="{309BF358-DB3F-4473-845D-38C6084A9BCD}" userId="47a89462a3ef6108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11" dT="2025-11-01T16:08:12.36" personId="{309BF358-DB3F-4473-845D-38C6084A9BCD}" id="{E79471DB-C803-4155-8FE9-035B923F2730}">
    <text>Ulaze i praznici/blagdani prema rasporedu radnog vremena</text>
  </threadedComment>
  <threadedComment ref="F12" dT="2025-11-01T16:10:58.80" personId="{309BF358-DB3F-4473-845D-38C6084A9BCD}" id="{7051D1B0-F1FC-4955-8088-9E110544A5B3}">
    <text>Ne ulaze praznici/blagdani prema rasporedu radnog vremena ukoliko je bolovanje(poslodavac ili HZZO))</text>
  </threadedComment>
  <threadedComment ref="G12" dT="2025-11-01T16:09:58.61" personId="{309BF358-DB3F-4473-845D-38C6084A9BCD}" id="{055BE583-2237-43CE-A2A3-5FA32D9538BC}">
    <text>Ne ulaze praznici/blagdani prema rasporedu radnog vremena</text>
  </threadedComment>
  <threadedComment ref="H12" dT="2025-11-01T16:09:09.32" personId="{309BF358-DB3F-4473-845D-38C6084A9BCD}" id="{041D99BE-4626-4C21-8FA3-E97648AC1619}">
    <text>Ulaze i praznici/blagdani prema rasporedu radnog vremena</text>
  </threadedComment>
</ThreadedComment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A228A-73DA-4532-A4E6-78D39AD59705}">
  <sheetPr codeName="Sheet1"/>
  <dimension ref="A1:Y72"/>
  <sheetViews>
    <sheetView zoomScaleNormal="100" workbookViewId="0">
      <selection activeCell="D17" sqref="D17"/>
    </sheetView>
  </sheetViews>
  <sheetFormatPr defaultRowHeight="15" x14ac:dyDescent="0.25"/>
  <cols>
    <col min="1" max="1" width="10.7109375" style="4" bestFit="1" customWidth="1"/>
    <col min="2" max="2" width="17.42578125" style="4" bestFit="1" customWidth="1"/>
    <col min="3" max="3" width="17.42578125" style="4" customWidth="1"/>
    <col min="4" max="4" width="16.42578125" style="4" bestFit="1" customWidth="1"/>
    <col min="5" max="5" width="9.140625" style="4"/>
    <col min="6" max="6" width="28.28515625" style="4" bestFit="1" customWidth="1"/>
    <col min="7" max="7" width="8.5703125" style="4" customWidth="1"/>
    <col min="8" max="8" width="10.7109375" style="4" bestFit="1" customWidth="1"/>
    <col min="9" max="9" width="6.85546875" style="4" customWidth="1"/>
    <col min="10" max="10" width="10.140625" style="4" bestFit="1" customWidth="1"/>
    <col min="11" max="11" width="8.42578125" style="4" bestFit="1" customWidth="1"/>
    <col min="12" max="12" width="13.85546875" style="4" bestFit="1" customWidth="1"/>
    <col min="13" max="13" width="7.5703125" style="4" bestFit="1" customWidth="1"/>
    <col min="14" max="14" width="6.7109375" style="4" customWidth="1"/>
    <col min="15" max="15" width="10.140625" style="4" bestFit="1" customWidth="1"/>
    <col min="16" max="16" width="5.85546875" style="4" customWidth="1"/>
    <col min="17" max="17" width="6.28515625" style="4" customWidth="1"/>
    <col min="18" max="18" width="10.140625" style="4" bestFit="1" customWidth="1"/>
    <col min="19" max="19" width="21.7109375" style="4" bestFit="1" customWidth="1"/>
    <col min="20" max="20" width="5.5703125" style="4" customWidth="1"/>
    <col min="21" max="23" width="9.140625" style="4"/>
    <col min="24" max="25" width="9.140625" style="4" customWidth="1"/>
    <col min="26" max="16384" width="9.140625" style="4"/>
  </cols>
  <sheetData>
    <row r="1" spans="1:25" x14ac:dyDescent="0.25">
      <c r="A1" s="6" t="s">
        <v>30</v>
      </c>
      <c r="B1" s="6" t="s">
        <v>27</v>
      </c>
      <c r="C1" s="6" t="s">
        <v>29</v>
      </c>
      <c r="D1" s="6" t="s">
        <v>28</v>
      </c>
      <c r="F1" s="60" t="s">
        <v>640</v>
      </c>
      <c r="H1" s="4" cm="1">
        <f t="array" ref="H1:H30">IFERROR(_xlfn.SEQUENCE(DAY(EOMONTH(DATE(Obracunski_sati!B2,Obracunski_sati!C2,1),0)),1,1,1),"")</f>
        <v>1</v>
      </c>
      <c r="I1" s="4" cm="1">
        <f t="array" ref="I1:I30">IFERROR(_xlfn.SEQUENCE(DAY(EOMONTH(DATE(Obracunski_sati!B3,Obracunski_sati!C3,1),0)),1,1,1),"")</f>
        <v>1</v>
      </c>
      <c r="M1" s="4">
        <v>0</v>
      </c>
      <c r="N1" s="4">
        <v>1</v>
      </c>
      <c r="P1" s="4">
        <v>0</v>
      </c>
      <c r="Q1" s="4">
        <v>0</v>
      </c>
      <c r="S1" s="4" t="s">
        <v>2</v>
      </c>
      <c r="T1" s="4">
        <v>0</v>
      </c>
      <c r="W1"/>
      <c r="X1"/>
      <c r="Y1"/>
    </row>
    <row r="2" spans="1:25" x14ac:dyDescent="0.25">
      <c r="A2" s="55">
        <v>45658</v>
      </c>
      <c r="B2" s="53">
        <v>184</v>
      </c>
      <c r="C2" s="53">
        <v>168</v>
      </c>
      <c r="D2" s="53">
        <v>16</v>
      </c>
      <c r="H2" s="4">
        <v>2</v>
      </c>
      <c r="I2" s="4">
        <v>2</v>
      </c>
      <c r="M2" s="4">
        <v>1</v>
      </c>
      <c r="N2" s="4">
        <v>0.5</v>
      </c>
      <c r="P2" s="4">
        <v>1</v>
      </c>
      <c r="Q2" s="4">
        <v>0.5</v>
      </c>
      <c r="S2" s="4" t="s">
        <v>5</v>
      </c>
      <c r="T2" s="4">
        <v>0.3</v>
      </c>
      <c r="W2"/>
      <c r="X2"/>
      <c r="Y2"/>
    </row>
    <row r="3" spans="1:25" x14ac:dyDescent="0.25">
      <c r="A3" s="55">
        <v>45689</v>
      </c>
      <c r="B3" s="53">
        <v>160</v>
      </c>
      <c r="C3" s="53">
        <v>160</v>
      </c>
      <c r="D3" s="53">
        <v>0</v>
      </c>
      <c r="F3" s="4" t="s">
        <v>637</v>
      </c>
      <c r="H3" s="4">
        <v>3</v>
      </c>
      <c r="I3" s="4">
        <v>3</v>
      </c>
      <c r="M3" s="4">
        <v>2</v>
      </c>
      <c r="N3" s="4">
        <v>0.7</v>
      </c>
      <c r="P3" s="4">
        <v>2</v>
      </c>
      <c r="Q3" s="4">
        <v>0.5</v>
      </c>
      <c r="S3" s="4" t="s">
        <v>7</v>
      </c>
      <c r="T3" s="4">
        <v>1</v>
      </c>
      <c r="W3"/>
      <c r="X3"/>
      <c r="Y3"/>
    </row>
    <row r="4" spans="1:25" x14ac:dyDescent="0.25">
      <c r="A4" s="55">
        <v>45717</v>
      </c>
      <c r="B4" s="53">
        <v>168</v>
      </c>
      <c r="C4" s="53">
        <v>168</v>
      </c>
      <c r="D4" s="53">
        <v>0</v>
      </c>
      <c r="F4" s="4" t="s">
        <v>638</v>
      </c>
      <c r="H4" s="4">
        <v>4</v>
      </c>
      <c r="I4" s="4">
        <v>4</v>
      </c>
      <c r="M4" s="4">
        <v>3</v>
      </c>
      <c r="N4" s="4">
        <f t="shared" ref="N4:N16" si="0">N3+(N3-N2)+0.1</f>
        <v>0.99999999999999989</v>
      </c>
      <c r="P4" s="4">
        <v>4</v>
      </c>
      <c r="Q4" s="4">
        <v>0.5</v>
      </c>
      <c r="W4"/>
      <c r="X4"/>
      <c r="Y4"/>
    </row>
    <row r="5" spans="1:25" x14ac:dyDescent="0.25">
      <c r="A5" s="55">
        <v>45748</v>
      </c>
      <c r="B5" s="53">
        <v>176</v>
      </c>
      <c r="C5" s="53">
        <v>168</v>
      </c>
      <c r="D5" s="53">
        <v>8</v>
      </c>
      <c r="F5" s="4" t="s">
        <v>639</v>
      </c>
      <c r="H5" s="4">
        <v>5</v>
      </c>
      <c r="I5" s="4">
        <v>5</v>
      </c>
      <c r="M5" s="4">
        <v>4</v>
      </c>
      <c r="N5" s="4">
        <f t="shared" si="0"/>
        <v>1.4</v>
      </c>
      <c r="P5" s="4">
        <v>5</v>
      </c>
      <c r="Q5" s="4">
        <v>0.5</v>
      </c>
      <c r="W5"/>
      <c r="X5"/>
      <c r="Y5"/>
    </row>
    <row r="6" spans="1:25" x14ac:dyDescent="0.25">
      <c r="A6" s="55">
        <v>45778</v>
      </c>
      <c r="B6" s="53">
        <v>176</v>
      </c>
      <c r="C6" s="53">
        <v>160</v>
      </c>
      <c r="D6" s="53">
        <v>16</v>
      </c>
      <c r="F6" s="4" t="s">
        <v>629</v>
      </c>
      <c r="H6" s="4">
        <v>6</v>
      </c>
      <c r="I6" s="4">
        <v>6</v>
      </c>
      <c r="M6" s="4">
        <v>5</v>
      </c>
      <c r="N6" s="4">
        <f t="shared" si="0"/>
        <v>1.9</v>
      </c>
      <c r="W6"/>
      <c r="X6"/>
      <c r="Y6"/>
    </row>
    <row r="7" spans="1:25" x14ac:dyDescent="0.25">
      <c r="A7" s="55">
        <v>45809</v>
      </c>
      <c r="B7" s="53">
        <v>168</v>
      </c>
      <c r="C7" s="53">
        <v>160</v>
      </c>
      <c r="D7" s="53">
        <v>8</v>
      </c>
      <c r="F7" s="4" t="s">
        <v>630</v>
      </c>
      <c r="H7" s="4">
        <v>7</v>
      </c>
      <c r="I7" s="4">
        <v>7</v>
      </c>
      <c r="M7" s="4">
        <v>6</v>
      </c>
      <c r="N7" s="4">
        <f t="shared" si="0"/>
        <v>2.5</v>
      </c>
      <c r="W7"/>
      <c r="X7"/>
      <c r="Y7"/>
    </row>
    <row r="8" spans="1:25" x14ac:dyDescent="0.25">
      <c r="A8" s="55">
        <v>45839</v>
      </c>
      <c r="B8" s="53">
        <v>184</v>
      </c>
      <c r="C8" s="53">
        <v>184</v>
      </c>
      <c r="D8" s="53">
        <v>0</v>
      </c>
      <c r="F8" s="4" t="s">
        <v>631</v>
      </c>
      <c r="H8" s="4">
        <v>8</v>
      </c>
      <c r="I8" s="4">
        <v>8</v>
      </c>
      <c r="M8" s="4">
        <v>7</v>
      </c>
      <c r="N8" s="4">
        <f t="shared" si="0"/>
        <v>3.2</v>
      </c>
    </row>
    <row r="9" spans="1:25" x14ac:dyDescent="0.25">
      <c r="A9" s="55">
        <v>45870</v>
      </c>
      <c r="B9" s="53">
        <v>168</v>
      </c>
      <c r="C9" s="53">
        <v>152</v>
      </c>
      <c r="D9" s="53">
        <v>16</v>
      </c>
      <c r="F9" s="4" t="s">
        <v>634</v>
      </c>
      <c r="H9" s="4">
        <v>9</v>
      </c>
      <c r="I9" s="4">
        <v>9</v>
      </c>
      <c r="M9" s="4">
        <v>8</v>
      </c>
      <c r="N9" s="4">
        <f t="shared" si="0"/>
        <v>4</v>
      </c>
    </row>
    <row r="10" spans="1:25" x14ac:dyDescent="0.25">
      <c r="A10" s="55">
        <v>45901</v>
      </c>
      <c r="B10" s="53">
        <v>176</v>
      </c>
      <c r="C10" s="53">
        <v>176</v>
      </c>
      <c r="D10" s="53">
        <v>0</v>
      </c>
      <c r="F10" s="4" t="s">
        <v>641</v>
      </c>
      <c r="H10" s="4">
        <v>10</v>
      </c>
      <c r="I10" s="4">
        <v>10</v>
      </c>
      <c r="M10" s="4">
        <v>9</v>
      </c>
      <c r="N10" s="4">
        <f t="shared" si="0"/>
        <v>4.8999999999999995</v>
      </c>
    </row>
    <row r="11" spans="1:25" x14ac:dyDescent="0.25">
      <c r="A11" s="55">
        <v>45931</v>
      </c>
      <c r="B11" s="53">
        <v>184</v>
      </c>
      <c r="C11" s="53">
        <v>184</v>
      </c>
      <c r="D11" s="53">
        <v>0</v>
      </c>
      <c r="H11" s="4">
        <v>11</v>
      </c>
      <c r="I11" s="4">
        <v>11</v>
      </c>
      <c r="M11" s="4">
        <v>10</v>
      </c>
      <c r="N11" s="4">
        <f t="shared" si="0"/>
        <v>5.8999999999999986</v>
      </c>
    </row>
    <row r="12" spans="1:25" x14ac:dyDescent="0.25">
      <c r="A12" s="55">
        <v>45962</v>
      </c>
      <c r="B12" s="53">
        <v>160</v>
      </c>
      <c r="C12" s="53">
        <v>152</v>
      </c>
      <c r="D12" s="53">
        <v>8</v>
      </c>
      <c r="H12" s="4">
        <v>12</v>
      </c>
      <c r="I12" s="4">
        <v>12</v>
      </c>
      <c r="M12" s="4">
        <v>11</v>
      </c>
      <c r="N12" s="4">
        <f t="shared" si="0"/>
        <v>6.9999999999999973</v>
      </c>
    </row>
    <row r="13" spans="1:25" x14ac:dyDescent="0.25">
      <c r="A13" s="55">
        <v>45992</v>
      </c>
      <c r="B13" s="53">
        <v>184</v>
      </c>
      <c r="C13" s="53">
        <v>168</v>
      </c>
      <c r="D13" s="56">
        <v>16</v>
      </c>
      <c r="H13" s="4">
        <v>13</v>
      </c>
      <c r="I13" s="4">
        <v>13</v>
      </c>
      <c r="M13" s="4">
        <v>12</v>
      </c>
      <c r="N13" s="4">
        <f t="shared" si="0"/>
        <v>8.1999999999999957</v>
      </c>
    </row>
    <row r="14" spans="1:25" x14ac:dyDescent="0.25">
      <c r="A14" s="57">
        <v>46023</v>
      </c>
      <c r="B14" s="58">
        <v>176</v>
      </c>
      <c r="C14" s="58">
        <v>160</v>
      </c>
      <c r="D14" s="53">
        <f t="shared" ref="D14:D25" si="1">B14-C14</f>
        <v>16</v>
      </c>
      <c r="H14" s="4">
        <v>14</v>
      </c>
      <c r="I14" s="4">
        <v>14</v>
      </c>
      <c r="M14" s="4">
        <v>13</v>
      </c>
      <c r="N14" s="4">
        <f t="shared" si="0"/>
        <v>9.4999999999999947</v>
      </c>
    </row>
    <row r="15" spans="1:25" x14ac:dyDescent="0.25">
      <c r="A15" s="55">
        <v>46054</v>
      </c>
      <c r="B15" s="53">
        <v>160</v>
      </c>
      <c r="C15" s="53">
        <v>160</v>
      </c>
      <c r="D15" s="53">
        <f t="shared" si="1"/>
        <v>0</v>
      </c>
      <c r="H15" s="4">
        <v>15</v>
      </c>
      <c r="I15" s="4">
        <v>15</v>
      </c>
      <c r="M15" s="4">
        <v>14</v>
      </c>
      <c r="N15" s="4">
        <f t="shared" si="0"/>
        <v>10.899999999999993</v>
      </c>
    </row>
    <row r="16" spans="1:25" x14ac:dyDescent="0.25">
      <c r="A16" s="55">
        <v>46082</v>
      </c>
      <c r="B16" s="53">
        <v>176</v>
      </c>
      <c r="C16" s="53">
        <v>176</v>
      </c>
      <c r="D16" s="53">
        <f t="shared" si="1"/>
        <v>0</v>
      </c>
      <c r="H16" s="4">
        <v>16</v>
      </c>
      <c r="I16" s="4">
        <v>16</v>
      </c>
      <c r="M16" s="4">
        <v>15</v>
      </c>
      <c r="N16" s="4">
        <f t="shared" si="0"/>
        <v>12.399999999999991</v>
      </c>
    </row>
    <row r="17" spans="1:9" x14ac:dyDescent="0.25">
      <c r="A17" s="55">
        <v>46113</v>
      </c>
      <c r="B17" s="53">
        <v>176</v>
      </c>
      <c r="C17" s="53">
        <v>168</v>
      </c>
      <c r="D17" s="53">
        <f t="shared" si="1"/>
        <v>8</v>
      </c>
      <c r="H17" s="4">
        <v>17</v>
      </c>
      <c r="I17" s="4">
        <v>17</v>
      </c>
    </row>
    <row r="18" spans="1:9" x14ac:dyDescent="0.25">
      <c r="A18" s="55">
        <v>46143</v>
      </c>
      <c r="B18" s="53">
        <v>168</v>
      </c>
      <c r="C18" s="53">
        <v>160</v>
      </c>
      <c r="D18" s="53">
        <f t="shared" si="1"/>
        <v>8</v>
      </c>
      <c r="H18" s="4">
        <v>18</v>
      </c>
      <c r="I18" s="4">
        <v>18</v>
      </c>
    </row>
    <row r="19" spans="1:9" x14ac:dyDescent="0.25">
      <c r="A19" s="55">
        <v>46174</v>
      </c>
      <c r="B19" s="53">
        <v>176</v>
      </c>
      <c r="C19" s="53">
        <v>160</v>
      </c>
      <c r="D19" s="53">
        <f t="shared" si="1"/>
        <v>16</v>
      </c>
      <c r="H19" s="4">
        <v>19</v>
      </c>
      <c r="I19" s="4">
        <v>19</v>
      </c>
    </row>
    <row r="20" spans="1:9" x14ac:dyDescent="0.25">
      <c r="A20" s="55">
        <v>46204</v>
      </c>
      <c r="B20" s="53">
        <v>184</v>
      </c>
      <c r="C20" s="53">
        <v>184</v>
      </c>
      <c r="D20" s="53">
        <f t="shared" si="1"/>
        <v>0</v>
      </c>
      <c r="H20" s="4">
        <v>20</v>
      </c>
      <c r="I20" s="4">
        <v>20</v>
      </c>
    </row>
    <row r="21" spans="1:9" x14ac:dyDescent="0.25">
      <c r="A21" s="55">
        <v>46235</v>
      </c>
      <c r="B21" s="53">
        <v>168</v>
      </c>
      <c r="C21" s="53">
        <v>160</v>
      </c>
      <c r="D21" s="53">
        <f t="shared" si="1"/>
        <v>8</v>
      </c>
      <c r="H21" s="4">
        <v>21</v>
      </c>
      <c r="I21" s="4">
        <v>21</v>
      </c>
    </row>
    <row r="22" spans="1:9" x14ac:dyDescent="0.25">
      <c r="A22" s="55">
        <v>46266</v>
      </c>
      <c r="B22" s="53">
        <v>176</v>
      </c>
      <c r="C22" s="53">
        <v>176</v>
      </c>
      <c r="D22" s="53">
        <f t="shared" si="1"/>
        <v>0</v>
      </c>
      <c r="H22" s="4">
        <v>22</v>
      </c>
      <c r="I22" s="4">
        <v>22</v>
      </c>
    </row>
    <row r="23" spans="1:9" x14ac:dyDescent="0.25">
      <c r="A23" s="55">
        <v>46296</v>
      </c>
      <c r="B23" s="53">
        <v>176</v>
      </c>
      <c r="C23" s="53">
        <v>176</v>
      </c>
      <c r="D23" s="53">
        <f t="shared" si="1"/>
        <v>0</v>
      </c>
      <c r="H23" s="4">
        <v>23</v>
      </c>
      <c r="I23" s="4">
        <v>23</v>
      </c>
    </row>
    <row r="24" spans="1:9" x14ac:dyDescent="0.25">
      <c r="A24" s="55">
        <v>46327</v>
      </c>
      <c r="B24" s="53">
        <v>168</v>
      </c>
      <c r="C24" s="53">
        <v>160</v>
      </c>
      <c r="D24" s="53">
        <f t="shared" si="1"/>
        <v>8</v>
      </c>
      <c r="H24" s="4">
        <v>24</v>
      </c>
      <c r="I24" s="4">
        <v>24</v>
      </c>
    </row>
    <row r="25" spans="1:9" x14ac:dyDescent="0.25">
      <c r="A25" s="55">
        <v>46357</v>
      </c>
      <c r="B25" s="53">
        <v>184</v>
      </c>
      <c r="C25" s="53">
        <v>176</v>
      </c>
      <c r="D25" s="53">
        <f t="shared" si="1"/>
        <v>8</v>
      </c>
      <c r="H25" s="4">
        <v>25</v>
      </c>
      <c r="I25" s="4">
        <v>25</v>
      </c>
    </row>
    <row r="26" spans="1:9" x14ac:dyDescent="0.25">
      <c r="A26" s="54"/>
      <c r="B26" s="54"/>
      <c r="C26" s="54"/>
      <c r="D26" s="54"/>
      <c r="H26" s="4">
        <v>26</v>
      </c>
      <c r="I26" s="4">
        <v>26</v>
      </c>
    </row>
    <row r="27" spans="1:9" x14ac:dyDescent="0.25">
      <c r="A27" s="6"/>
      <c r="B27" s="6"/>
      <c r="C27" s="6"/>
      <c r="D27" s="6" t="s">
        <v>28</v>
      </c>
      <c r="H27" s="4">
        <v>27</v>
      </c>
      <c r="I27" s="4">
        <v>27</v>
      </c>
    </row>
    <row r="28" spans="1:9" x14ac:dyDescent="0.25">
      <c r="A28" s="64"/>
      <c r="D28" s="59">
        <v>45658</v>
      </c>
      <c r="H28" s="4">
        <v>28</v>
      </c>
      <c r="I28" s="4">
        <v>28</v>
      </c>
    </row>
    <row r="29" spans="1:9" x14ac:dyDescent="0.25">
      <c r="D29" s="59">
        <v>45663</v>
      </c>
      <c r="H29" s="4">
        <v>29</v>
      </c>
      <c r="I29" s="4">
        <v>29</v>
      </c>
    </row>
    <row r="30" spans="1:9" x14ac:dyDescent="0.25">
      <c r="D30" s="59">
        <v>45767</v>
      </c>
      <c r="H30" s="4">
        <v>30</v>
      </c>
      <c r="I30" s="4">
        <v>30</v>
      </c>
    </row>
    <row r="31" spans="1:9" x14ac:dyDescent="0.25">
      <c r="D31" s="59">
        <v>45768</v>
      </c>
    </row>
    <row r="32" spans="1:9" x14ac:dyDescent="0.25">
      <c r="D32" s="59">
        <v>45778</v>
      </c>
    </row>
    <row r="33" spans="4:22" x14ac:dyDescent="0.25">
      <c r="D33" s="59">
        <v>45807</v>
      </c>
    </row>
    <row r="34" spans="4:22" x14ac:dyDescent="0.25">
      <c r="D34" s="59">
        <v>45827</v>
      </c>
    </row>
    <row r="35" spans="4:22" x14ac:dyDescent="0.25">
      <c r="D35" s="59">
        <v>45830</v>
      </c>
    </row>
    <row r="36" spans="4:22" x14ac:dyDescent="0.25">
      <c r="D36" s="59">
        <v>45874</v>
      </c>
    </row>
    <row r="37" spans="4:22" x14ac:dyDescent="0.25">
      <c r="D37" s="59">
        <v>45884</v>
      </c>
    </row>
    <row r="38" spans="4:22" x14ac:dyDescent="0.25">
      <c r="D38" s="59">
        <v>45962</v>
      </c>
    </row>
    <row r="39" spans="4:22" x14ac:dyDescent="0.25">
      <c r="D39" s="59">
        <v>45979</v>
      </c>
    </row>
    <row r="40" spans="4:22" x14ac:dyDescent="0.25">
      <c r="D40" s="59">
        <v>46016</v>
      </c>
    </row>
    <row r="41" spans="4:22" x14ac:dyDescent="0.25">
      <c r="D41" s="59">
        <v>46017</v>
      </c>
      <c r="F41" s="60" t="s">
        <v>633</v>
      </c>
      <c r="G41" s="60" t="s">
        <v>627</v>
      </c>
      <c r="H41" s="60" t="s">
        <v>625</v>
      </c>
      <c r="I41" s="60" t="s">
        <v>626</v>
      </c>
      <c r="J41" s="60" t="s">
        <v>632</v>
      </c>
      <c r="L41" s="80" t="s">
        <v>635</v>
      </c>
      <c r="M41" s="80"/>
      <c r="U41" s="19"/>
    </row>
    <row r="42" spans="4:22" x14ac:dyDescent="0.25">
      <c r="D42" s="59">
        <v>46023</v>
      </c>
      <c r="F42" s="4" t="str" cm="1">
        <f t="array" ref="F42">_xlfn.LET(_xlpm.r,1+(ROW(A1)-1)*6,_xlfn.VALUETOTEXT(INDEX(Obracunski_sati!C:C,_xlpm.r)))</f>
        <v>Rad</v>
      </c>
      <c r="G42" s="4" cm="1">
        <f t="array" ref="G42">_xlfn.LET(
_xlpm.r,2+(ROW(A1)-1)*6,
IFERROR(
SUMPRODUCT(
--($D$28:$D$55&gt;=DATE(INDEX(Obracunski_sati!B:B,_xlpm.r),INDEX(Obracunski_sati!C:C,_xlpm.r),INDEX(Obracunski_sati!D:D,_xlpm.r))),
--($D$28:$D$55&lt;=DATE(INDEX(Obracunski_sati!B:B,_xlpm.r+1),INDEX(Obracunski_sati!C:C,_xlpm.r+1),INDEX(Obracunski_sati!D:D,_xlpm.r+1))),
--(WEEKDAY($D$28:$D$55,2)&lt;6)
)*8,
0)
)</f>
        <v>0</v>
      </c>
      <c r="H42" s="59" cm="1">
        <f t="array" ref="H42">_xlfn.LET(_xlpm.r,2+(ROW(A1)-1)*6,IFERROR(DATE(INDEX(Obracunski_sati!B:B,_xlpm.r),INDEX(Obracunski_sati!C:C,_xlpm.r),INDEX(Obracunski_sati!D:D,_xlpm.r)),""))</f>
        <v>45901</v>
      </c>
      <c r="I42" s="4" cm="1">
        <f t="array" ref="I42">_xlfn.LET(_xlpm.r,4+(ROW(A1)-1)*6,INDEX(Obracunski_sati!B:B,_xlpm.r))</f>
        <v>176</v>
      </c>
      <c r="J42" s="19">
        <f>IFERROR(_xlfn.IFNA(_xlfn.XLOOKUP(F42,$L$42:$L$48,$M$42:$M$48)*I42/_xlfn.XLOOKUP(F42,$L$50:$L$56,$M$50:$M$56),0),0)</f>
        <v>1500</v>
      </c>
      <c r="K42" s="19"/>
      <c r="L42" s="4" t="s">
        <v>637</v>
      </c>
      <c r="M42" s="19" cm="1">
        <f t="array" ref="M42">IFERROR(BRUTO/TEK_FOND_SATI*SUM_RAD_SATI,0)</f>
        <v>1500</v>
      </c>
      <c r="U42" s="19"/>
      <c r="V42" s="19"/>
    </row>
    <row r="43" spans="4:22" x14ac:dyDescent="0.25">
      <c r="D43" s="59">
        <v>46028</v>
      </c>
      <c r="F43" s="4" t="str" cm="1">
        <f t="array" ref="F43">_xlfn.LET(_xlpm.r,1+(ROW(A2)-1)*6,_xlfn.VALUETOTEXT(INDEX(Obracunski_sati!C:C,_xlpm.r)))</f>
        <v/>
      </c>
      <c r="G43" s="4" cm="1">
        <f t="array" ref="G43">_xlfn.LET(
_xlpm.r,2+(ROW(A2)-1)*6,
IFERROR(
SUMPRODUCT(
--($D$28:$D$55&gt;=DATE(INDEX(Obracunski_sati!B:B,_xlpm.r),INDEX(Obracunski_sati!C:C,_xlpm.r),INDEX(Obracunski_sati!D:D,_xlpm.r))),
--($D$28:$D$55&lt;=DATE(INDEX(Obracunski_sati!B:B,_xlpm.r+1),INDEX(Obracunski_sati!C:C,_xlpm.r+1),INDEX(Obracunski_sati!D:D,_xlpm.r+1))),
--(WEEKDAY($D$28:$D$55,2)&lt;6)
)*8,
0)
)</f>
        <v>0</v>
      </c>
      <c r="H43" s="59" t="str" cm="1">
        <f t="array" ref="H43">_xlfn.LET(_xlpm.r,2+(ROW(A2)-1)*6,IFERROR(DATE(INDEX(Obracunski_sati!B:B,_xlpm.r),INDEX(Obracunski_sati!C:C,_xlpm.r),INDEX(Obracunski_sati!D:D,_xlpm.r)),""))</f>
        <v/>
      </c>
      <c r="I43" s="4" cm="1">
        <f t="array" ref="I43">_xlfn.LET(_xlpm.r,4+(ROW(A2)-1)*6,INDEX(Obracunski_sati!B:B,_xlpm.r))</f>
        <v>0</v>
      </c>
      <c r="J43" s="19">
        <f>IFERROR(_xlfn.IFNA(_xlfn.XLOOKUP(F43,$L$42:$L$48,$M$42:$M$48)*I43/_xlfn.XLOOKUP(F43,$L$50:$L$56,$M$50:$M$56),0),0)</f>
        <v>0</v>
      </c>
      <c r="K43" s="19"/>
      <c r="L43" s="4" t="s">
        <v>639</v>
      </c>
      <c r="M43" s="19" cm="1">
        <f t="array" ref="M43">IFERROR(BRUTO/TEK_FOND_SATI*SUM_GO_SATI,0)</f>
        <v>0</v>
      </c>
      <c r="U43" s="19"/>
      <c r="V43" s="19"/>
    </row>
    <row r="44" spans="4:22" x14ac:dyDescent="0.25">
      <c r="D44" s="59">
        <v>46117</v>
      </c>
      <c r="F44" s="4" t="str" cm="1">
        <f t="array" ref="F44">_xlfn.LET(_xlpm.r,1+(ROW(A3)-1)*6,_xlfn.VALUETOTEXT(INDEX(Obracunski_sati!C:C,_xlpm.r)))</f>
        <v/>
      </c>
      <c r="G44" s="4" cm="1">
        <f t="array" ref="G44">_xlfn.LET(
_xlpm.r,2+(ROW(A3)-1)*6,
IFERROR(
SUMPRODUCT(
--($D$28:$D$55&gt;=DATE(INDEX(Obracunski_sati!B:B,_xlpm.r),INDEX(Obracunski_sati!C:C,_xlpm.r),INDEX(Obracunski_sati!D:D,_xlpm.r))),
--($D$28:$D$55&lt;=DATE(INDEX(Obracunski_sati!B:B,_xlpm.r+1),INDEX(Obracunski_sati!C:C,_xlpm.r+1),INDEX(Obracunski_sati!D:D,_xlpm.r+1))),
--(WEEKDAY($D$28:$D$55,2)&lt;6)
)*8,
0)
)</f>
        <v>0</v>
      </c>
      <c r="H44" s="59" t="str" cm="1">
        <f t="array" ref="H44">_xlfn.LET(_xlpm.r,2+(ROW(A3)-1)*6,IFERROR(DATE(INDEX(Obracunski_sati!B:B,_xlpm.r),INDEX(Obracunski_sati!C:C,_xlpm.r),INDEX(Obracunski_sati!D:D,_xlpm.r)),""))</f>
        <v/>
      </c>
      <c r="I44" s="4" cm="1">
        <f t="array" ref="I44">_xlfn.LET(_xlpm.r,4+(ROW(A3)-1)*6,INDEX(Obracunski_sati!B:B,_xlpm.r))</f>
        <v>0</v>
      </c>
      <c r="J44" s="19">
        <f>IFERROR(_xlfn.IFNA(_xlfn.XLOOKUP(F44,$L$42:$L$48,$M$42:$M$48)*I44/_xlfn.XLOOKUP(F44,$L$50:$L$56,$M$50:$M$56),0),0)</f>
        <v>0</v>
      </c>
      <c r="K44" s="19"/>
      <c r="L44" s="4" t="s">
        <v>638</v>
      </c>
      <c r="M44" s="19">
        <f>IFERROR(_xlfn.XLOOKUP(DATE(Obracunski_sati!$B$2,Obracunski_sati!$C$2,1),'Obračun bolovanja'!$A$13:$A$36,'Obračun bolovanja'!$H$13:$H$36)*'Obračun bolovanja'!$C$8,0)</f>
        <v>0</v>
      </c>
      <c r="U44" s="19"/>
    </row>
    <row r="45" spans="4:22" x14ac:dyDescent="0.25">
      <c r="D45" s="59">
        <v>46118</v>
      </c>
      <c r="F45" s="4" t="str" cm="1">
        <f t="array" ref="F45">_xlfn.LET(_xlpm.r,1+(ROW(A4)-1)*6,_xlfn.VALUETOTEXT(INDEX(Obracunski_sati!C:C,_xlpm.r)))</f>
        <v/>
      </c>
      <c r="G45" s="4" cm="1">
        <f t="array" ref="G45">_xlfn.LET(
_xlpm.r,2+(ROW(A4)-1)*6,
IFERROR(
SUMPRODUCT(
--($D$28:$D$55&gt;=DATE(INDEX(Obracunski_sati!B:B,_xlpm.r),INDEX(Obracunski_sati!C:C,_xlpm.r),INDEX(Obracunski_sati!D:D,_xlpm.r))),
--($D$28:$D$55&lt;=DATE(INDEX(Obracunski_sati!B:B,_xlpm.r+1),INDEX(Obracunski_sati!C:C,_xlpm.r+1),INDEX(Obracunski_sati!D:D,_xlpm.r+1))),
--(WEEKDAY($D$28:$D$55,2)&lt;6)
)*8,
0)
)</f>
        <v>0</v>
      </c>
      <c r="H45" s="59" t="str" cm="1">
        <f t="array" ref="H45">_xlfn.LET(_xlpm.r,2+(ROW(A4)-1)*6,IFERROR(DATE(INDEX(Obracunski_sati!B:B,_xlpm.r),INDEX(Obracunski_sati!C:C,_xlpm.r),INDEX(Obracunski_sati!D:D,_xlpm.r)),""))</f>
        <v/>
      </c>
      <c r="I45" s="4" cm="1">
        <f t="array" ref="I45">_xlfn.LET(_xlpm.r,4+(ROW(A4)-1)*6,INDEX(Obracunski_sati!B:B,_xlpm.r))</f>
        <v>0</v>
      </c>
      <c r="J45" s="19">
        <f t="shared" ref="J45:J72" si="2">IFERROR(_xlfn.IFNA(_xlfn.XLOOKUP(F45,$L$42:$L$48,$M$42:$M$48)*I45/_xlfn.XLOOKUP(F45,$L$50:$L$56,$M$50:$M$56),0),0)</f>
        <v>0</v>
      </c>
      <c r="L45" s="61" t="s">
        <v>629</v>
      </c>
      <c r="M45" s="62" cm="1">
        <f t="array" ref="M45">IFERROR(IF(HZZO_LIMIT/TEK_FOND_SATI*SUM_HZZO_BOL_SATI&lt;HZZO_BOL,HZZO_LIMIT/TEK_FOND_SATI*SUM_HZZO_BOL_SATI,HZZO_BOL),0)</f>
        <v>0</v>
      </c>
      <c r="U45" s="19"/>
    </row>
    <row r="46" spans="4:22" x14ac:dyDescent="0.25">
      <c r="D46" s="59">
        <v>46143</v>
      </c>
      <c r="F46" s="4" t="str" cm="1">
        <f t="array" ref="F46">_xlfn.LET(_xlpm.r,1+(ROW(A5)-1)*6,_xlfn.VALUETOTEXT(INDEX(Obracunski_sati!C:C,_xlpm.r)))</f>
        <v/>
      </c>
      <c r="G46" s="4" cm="1">
        <f t="array" ref="G46">_xlfn.LET(
_xlpm.r,2+(ROW(A5)-1)*6,
IFERROR(
SUMPRODUCT(
--($D$28:$D$55&gt;=DATE(INDEX(Obracunski_sati!B:B,_xlpm.r),INDEX(Obracunski_sati!C:C,_xlpm.r),INDEX(Obracunski_sati!D:D,_xlpm.r))),
--($D$28:$D$55&lt;=DATE(INDEX(Obracunski_sati!B:B,_xlpm.r+1),INDEX(Obracunski_sati!C:C,_xlpm.r+1),INDEX(Obracunski_sati!D:D,_xlpm.r+1))),
--(WEEKDAY($D$28:$D$55,2)&lt;6)
)*8,
0)
)</f>
        <v>0</v>
      </c>
      <c r="H46" s="59" t="str" cm="1">
        <f t="array" ref="H46">_xlfn.LET(_xlpm.r,2+(ROW(A5)-1)*6,IFERROR(DATE(INDEX(Obracunski_sati!B:B,_xlpm.r),INDEX(Obracunski_sati!C:C,_xlpm.r),INDEX(Obracunski_sati!D:D,_xlpm.r)),""))</f>
        <v/>
      </c>
      <c r="I46" s="4" cm="1">
        <f t="array" ref="I46">_xlfn.LET(_xlpm.r,4+(ROW(A5)-1)*6,INDEX(Obracunski_sati!B:B,_xlpm.r))</f>
        <v>0</v>
      </c>
      <c r="J46" s="19">
        <f t="shared" si="2"/>
        <v>0</v>
      </c>
      <c r="L46" s="61" t="s">
        <v>630</v>
      </c>
      <c r="M46" s="62" cm="1">
        <f t="array" ref="M46">IFERROR(IF(HZZO_LIMIT/TEK_FOND_SATI*SUM_HZZO_NJEGA_SATI&lt;HZZO_NJEGA,HZZO_LIMIT/TEK_FOND_SATI*SUM_HZZO_NJEGA_SATI,HZZO_NJEGA),0)</f>
        <v>0</v>
      </c>
      <c r="U46" s="19"/>
    </row>
    <row r="47" spans="4:22" x14ac:dyDescent="0.25">
      <c r="D47" s="59">
        <v>46172</v>
      </c>
      <c r="F47" s="4" t="str" cm="1">
        <f t="array" ref="F47">_xlfn.LET(_xlpm.r,1+(ROW(A6)-1)*6,_xlfn.VALUETOTEXT(INDEX(Obracunski_sati!C:C,_xlpm.r)))</f>
        <v/>
      </c>
      <c r="G47" s="4" cm="1">
        <f t="array" ref="G47">_xlfn.LET(
_xlpm.r,2+(ROW(A6)-1)*6,
IFERROR(
SUMPRODUCT(
--($D$28:$D$55&gt;=DATE(INDEX(Obracunski_sati!B:B,_xlpm.r),INDEX(Obracunski_sati!C:C,_xlpm.r),INDEX(Obracunski_sati!D:D,_xlpm.r))),
--($D$28:$D$55&lt;=DATE(INDEX(Obracunski_sati!B:B,_xlpm.r+1),INDEX(Obracunski_sati!C:C,_xlpm.r+1),INDEX(Obracunski_sati!D:D,_xlpm.r+1))),
--(WEEKDAY($D$28:$D$55,2)&lt;6)
)*8,
0)
)</f>
        <v>0</v>
      </c>
      <c r="H47" s="59" t="str" cm="1">
        <f t="array" ref="H47">_xlfn.LET(_xlpm.r,2+(ROW(A6)-1)*6,IFERROR(DATE(INDEX(Obracunski_sati!B:B,_xlpm.r),INDEX(Obracunski_sati!C:C,_xlpm.r),INDEX(Obracunski_sati!D:D,_xlpm.r)),""))</f>
        <v/>
      </c>
      <c r="I47" s="4" cm="1">
        <f t="array" ref="I47">_xlfn.LET(_xlpm.r,4+(ROW(A6)-1)*6,INDEX(Obracunski_sati!B:B,_xlpm.r))</f>
        <v>0</v>
      </c>
      <c r="J47" s="19">
        <f t="shared" si="2"/>
        <v>0</v>
      </c>
      <c r="L47" s="61" t="s">
        <v>631</v>
      </c>
      <c r="M47" s="62" cm="1">
        <f t="array" ref="M47">IFERROR(IF(HZZO_LIMIT/TEK_FOND_SATI*SUM_HZZO_NJEGA_7_SATI&lt;HZZO_NJEGA_7,HZZO_LIMIT/TEK_FOND_SATI*SUM_HZZO_NJEGA_7_SATI,HZZO_NJEGA_7),0)</f>
        <v>0</v>
      </c>
      <c r="U47" s="19"/>
    </row>
    <row r="48" spans="4:22" x14ac:dyDescent="0.25">
      <c r="D48" s="59">
        <v>46177</v>
      </c>
      <c r="F48" s="4" t="str" cm="1">
        <f t="array" ref="F48">_xlfn.LET(_xlpm.r,1+(ROW(A7)-1)*6,_xlfn.VALUETOTEXT(INDEX(Obracunski_sati!C:C,_xlpm.r)))</f>
        <v/>
      </c>
      <c r="G48" s="4" cm="1">
        <f t="array" ref="G48">_xlfn.LET(
_xlpm.r,2+(ROW(A7)-1)*6,
IFERROR(
SUMPRODUCT(
--($D$28:$D$55&gt;=DATE(INDEX(Obracunski_sati!B:B,_xlpm.r),INDEX(Obracunski_sati!C:C,_xlpm.r),INDEX(Obracunski_sati!D:D,_xlpm.r))),
--($D$28:$D$55&lt;=DATE(INDEX(Obracunski_sati!B:B,_xlpm.r+1),INDEX(Obracunski_sati!C:C,_xlpm.r+1),INDEX(Obracunski_sati!D:D,_xlpm.r+1))),
--(WEEKDAY($D$28:$D$55,2)&lt;6)
)*8,
0)
)</f>
        <v>0</v>
      </c>
      <c r="H48" s="59" t="str" cm="1">
        <f t="array" ref="H48">_xlfn.LET(_xlpm.r,2+(ROW(A7)-1)*6,IFERROR(DATE(INDEX(Obracunski_sati!B:B,_xlpm.r),INDEX(Obracunski_sati!C:C,_xlpm.r),INDEX(Obracunski_sati!D:D,_xlpm.r)),""))</f>
        <v/>
      </c>
      <c r="I48" s="4" cm="1">
        <f t="array" ref="I48">_xlfn.LET(_xlpm.r,4+(ROW(A7)-1)*6,INDEX(Obracunski_sati!B:B,_xlpm.r))</f>
        <v>0</v>
      </c>
      <c r="J48" s="19">
        <f t="shared" si="2"/>
        <v>0</v>
      </c>
      <c r="L48" s="63" t="s">
        <v>634</v>
      </c>
      <c r="M48" s="62" cm="1">
        <f t="array" ref="M48">IFERROR(SUM_HZZO_OZLJEDA_SATI*'Obračun bolovanja'!$H$8,0)</f>
        <v>0</v>
      </c>
    </row>
    <row r="49" spans="4:13" x14ac:dyDescent="0.25">
      <c r="D49" s="59">
        <v>46195</v>
      </c>
      <c r="F49" s="4" t="str" cm="1">
        <f t="array" ref="F49">_xlfn.LET(_xlpm.r,1+(ROW(A8)-1)*6,_xlfn.VALUETOTEXT(INDEX(Obracunski_sati!C:C,_xlpm.r)))</f>
        <v/>
      </c>
      <c r="G49" s="4" cm="1">
        <f t="array" ref="G49">_xlfn.LET(
_xlpm.r,2+(ROW(A8)-1)*6,
IFERROR(
SUMPRODUCT(
--($D$28:$D$55&gt;=DATE(INDEX(Obracunski_sati!B:B,_xlpm.r),INDEX(Obracunski_sati!C:C,_xlpm.r),INDEX(Obracunski_sati!D:D,_xlpm.r))),
--($D$28:$D$55&lt;=DATE(INDEX(Obracunski_sati!B:B,_xlpm.r+1),INDEX(Obracunski_sati!C:C,_xlpm.r+1),INDEX(Obracunski_sati!D:D,_xlpm.r+1))),
--(WEEKDAY($D$28:$D$55,2)&lt;6)
)*8,
0)
)</f>
        <v>0</v>
      </c>
      <c r="H49" s="59" t="str" cm="1">
        <f t="array" ref="H49">_xlfn.LET(_xlpm.r,2+(ROW(A8)-1)*6,IFERROR(DATE(INDEX(Obracunski_sati!B:B,_xlpm.r),INDEX(Obracunski_sati!C:C,_xlpm.r),INDEX(Obracunski_sati!D:D,_xlpm.r)),""))</f>
        <v/>
      </c>
      <c r="I49" s="4" cm="1">
        <f t="array" ref="I49">_xlfn.LET(_xlpm.r,4+(ROW(A8)-1)*6,INDEX(Obracunski_sati!B:B,_xlpm.r))</f>
        <v>0</v>
      </c>
      <c r="J49" s="19">
        <f t="shared" si="2"/>
        <v>0</v>
      </c>
      <c r="L49" s="79" t="s">
        <v>636</v>
      </c>
      <c r="M49" s="79"/>
    </row>
    <row r="50" spans="4:13" x14ac:dyDescent="0.25">
      <c r="D50" s="59">
        <v>46239</v>
      </c>
      <c r="F50" s="4" t="str" cm="1">
        <f t="array" ref="F50">_xlfn.LET(_xlpm.r,1+(ROW(A9)-1)*6,_xlfn.VALUETOTEXT(INDEX(Obracunski_sati!C:C,_xlpm.r)))</f>
        <v/>
      </c>
      <c r="G50" s="4" cm="1">
        <f t="array" ref="G50">_xlfn.LET(
_xlpm.r,2+(ROW(A9)-1)*6,
IFERROR(
SUMPRODUCT(
--($D$28:$D$55&gt;=DATE(INDEX(Obracunski_sati!B:B,_xlpm.r),INDEX(Obracunski_sati!C:C,_xlpm.r),INDEX(Obracunski_sati!D:D,_xlpm.r))),
--($D$28:$D$55&lt;=DATE(INDEX(Obracunski_sati!B:B,_xlpm.r+1),INDEX(Obracunski_sati!C:C,_xlpm.r+1),INDEX(Obracunski_sati!D:D,_xlpm.r+1))),
--(WEEKDAY($D$28:$D$55,2)&lt;6)
)*8,
0)
)</f>
        <v>0</v>
      </c>
      <c r="H50" s="59" t="str" cm="1">
        <f t="array" ref="H50">_xlfn.LET(_xlpm.r,2+(ROW(A9)-1)*6,IFERROR(DATE(INDEX(Obracunski_sati!B:B,_xlpm.r),INDEX(Obracunski_sati!C:C,_xlpm.r),INDEX(Obracunski_sati!D:D,_xlpm.r)),""))</f>
        <v/>
      </c>
      <c r="I50" s="4" cm="1">
        <f t="array" ref="I50">_xlfn.LET(_xlpm.r,4+(ROW(A9)-1)*6,INDEX(Obracunski_sati!B:B,_xlpm.r))</f>
        <v>0</v>
      </c>
      <c r="J50" s="19">
        <f t="shared" si="2"/>
        <v>0</v>
      </c>
      <c r="L50" s="4" t="s">
        <v>637</v>
      </c>
      <c r="M50" s="4" cm="1">
        <f t="array" ref="M50">SUM(SUMIF(Helper!$F$42:$F$72,{"Rad"},Helper!$I$42:$I$72))+SUM(SUMIF(Helper!$F$42:$F$72,{"GO"},Helper!$G$42:$G$72))</f>
        <v>176</v>
      </c>
    </row>
    <row r="51" spans="4:13" x14ac:dyDescent="0.25">
      <c r="D51" s="59">
        <v>46249</v>
      </c>
      <c r="F51" s="4" t="str" cm="1">
        <f t="array" ref="F51">_xlfn.LET(_xlpm.r,1+(ROW(A10)-1)*6,_xlfn.VALUETOTEXT(INDEX(Obracunski_sati!C:C,_xlpm.r)))</f>
        <v/>
      </c>
      <c r="G51" s="4" cm="1">
        <f t="array" ref="G51">_xlfn.LET(
_xlpm.r,2+(ROW(A10)-1)*6,
IFERROR(
SUMPRODUCT(
--($D$28:$D$55&gt;=DATE(INDEX(Obracunski_sati!B:B,_xlpm.r),INDEX(Obracunski_sati!C:C,_xlpm.r),INDEX(Obracunski_sati!D:D,_xlpm.r))),
--($D$28:$D$55&lt;=DATE(INDEX(Obracunski_sati!B:B,_xlpm.r+1),INDEX(Obracunski_sati!C:C,_xlpm.r+1),INDEX(Obracunski_sati!D:D,_xlpm.r+1))),
--(WEEKDAY($D$28:$D$55,2)&lt;6)
)*8,
0)
)</f>
        <v>0</v>
      </c>
      <c r="H51" s="59" t="str" cm="1">
        <f t="array" ref="H51">_xlfn.LET(_xlpm.r,2+(ROW(A10)-1)*6,IFERROR(DATE(INDEX(Obracunski_sati!B:B,_xlpm.r),INDEX(Obracunski_sati!C:C,_xlpm.r),INDEX(Obracunski_sati!D:D,_xlpm.r)),""))</f>
        <v/>
      </c>
      <c r="I51" s="4" cm="1">
        <f t="array" ref="I51">_xlfn.LET(_xlpm.r,4+(ROW(A10)-1)*6,INDEX(Obracunski_sati!B:B,_xlpm.r))</f>
        <v>0</v>
      </c>
      <c r="J51" s="19">
        <f t="shared" si="2"/>
        <v>0</v>
      </c>
      <c r="L51" s="4" t="s">
        <v>639</v>
      </c>
      <c r="M51" s="4" cm="1">
        <f t="array" ref="M51">SUM(SUMIF(Helper!$F$42:$F$72,{"GO"},Helper!$I$42:$I$72))-SUM(SUMIF(Helper!$F$42:$F$72,{"GO"},Helper!$G$42:$G$72))</f>
        <v>0</v>
      </c>
    </row>
    <row r="52" spans="4:13" x14ac:dyDescent="0.25">
      <c r="D52" s="59">
        <v>46327</v>
      </c>
      <c r="F52" s="4" t="str" cm="1">
        <f t="array" ref="F52">_xlfn.LET(_xlpm.r,1+(ROW(A11)-1)*6,_xlfn.VALUETOTEXT(INDEX(Obracunski_sati!C:C,_xlpm.r)))</f>
        <v/>
      </c>
      <c r="G52" s="4" cm="1">
        <f t="array" ref="G52">_xlfn.LET(
_xlpm.r,2+(ROW(A11)-1)*6,
IFERROR(
SUMPRODUCT(
--($D$28:$D$55&gt;=DATE(INDEX(Obracunski_sati!B:B,_xlpm.r),INDEX(Obracunski_sati!C:C,_xlpm.r),INDEX(Obracunski_sati!D:D,_xlpm.r))),
--($D$28:$D$55&lt;=DATE(INDEX(Obracunski_sati!B:B,_xlpm.r+1),INDEX(Obracunski_sati!C:C,_xlpm.r+1),INDEX(Obracunski_sati!D:D,_xlpm.r+1))),
--(WEEKDAY($D$28:$D$55,2)&lt;6)
)*8,
0)
)</f>
        <v>0</v>
      </c>
      <c r="H52" s="59" t="str" cm="1">
        <f t="array" ref="H52">_xlfn.LET(_xlpm.r,2+(ROW(A11)-1)*6,IFERROR(DATE(INDEX(Obracunski_sati!B:B,_xlpm.r),INDEX(Obracunski_sati!C:C,_xlpm.r),INDEX(Obracunski_sati!D:D,_xlpm.r)),""))</f>
        <v/>
      </c>
      <c r="I52" s="4" cm="1">
        <f t="array" ref="I52">_xlfn.LET(_xlpm.r,4+(ROW(A11)-1)*6,INDEX(Obracunski_sati!B:B,_xlpm.r))</f>
        <v>0</v>
      </c>
      <c r="J52" s="19">
        <f t="shared" si="2"/>
        <v>0</v>
      </c>
      <c r="L52" s="4" t="s">
        <v>638</v>
      </c>
      <c r="M52" s="4" cm="1">
        <f t="array" ref="M52">SUM(SUMIF(Helper!$F$42:$F$72,{"Bolovanje"},Helper!$I$42:$I$72))</f>
        <v>0</v>
      </c>
    </row>
    <row r="53" spans="4:13" x14ac:dyDescent="0.25">
      <c r="D53" s="59">
        <v>46344</v>
      </c>
      <c r="F53" s="4" t="str" cm="1">
        <f t="array" ref="F53">_xlfn.LET(_xlpm.r,1+(ROW(A12)-1)*6,_xlfn.VALUETOTEXT(INDEX(Obracunski_sati!C:C,_xlpm.r)))</f>
        <v/>
      </c>
      <c r="G53" s="4" cm="1">
        <f t="array" ref="G53">_xlfn.LET(
_xlpm.r,2+(ROW(A12)-1)*6,
IFERROR(
SUMPRODUCT(
--($D$28:$D$55&gt;=DATE(INDEX(Obracunski_sati!B:B,_xlpm.r),INDEX(Obracunski_sati!C:C,_xlpm.r),INDEX(Obracunski_sati!D:D,_xlpm.r))),
--($D$28:$D$55&lt;=DATE(INDEX(Obracunski_sati!B:B,_xlpm.r+1),INDEX(Obracunski_sati!C:C,_xlpm.r+1),INDEX(Obracunski_sati!D:D,_xlpm.r+1))),
--(WEEKDAY($D$28:$D$55,2)&lt;6)
)*8,
0)
)</f>
        <v>0</v>
      </c>
      <c r="H53" s="59" t="str" cm="1">
        <f t="array" ref="H53">_xlfn.LET(_xlpm.r,2+(ROW(A12)-1)*6,IFERROR(DATE(INDEX(Obracunski_sati!B:B,_xlpm.r),INDEX(Obracunski_sati!C:C,_xlpm.r),INDEX(Obracunski_sati!D:D,_xlpm.r)),""))</f>
        <v/>
      </c>
      <c r="I53" s="4" cm="1">
        <f t="array" ref="I53">_xlfn.LET(_xlpm.r,4+(ROW(A12)-1)*6,INDEX(Obracunski_sati!B:B,_xlpm.r))</f>
        <v>0</v>
      </c>
      <c r="J53" s="19">
        <f t="shared" si="2"/>
        <v>0</v>
      </c>
      <c r="L53" s="61" t="s">
        <v>629</v>
      </c>
      <c r="M53" s="63" cm="1">
        <f t="array" ref="M53">SUM(SUMIF(Helper!$F$42:$F$72,{"HZZO(bol)"},Helper!$I$42:$I$72))</f>
        <v>0</v>
      </c>
    </row>
    <row r="54" spans="4:13" x14ac:dyDescent="0.25">
      <c r="D54" s="59">
        <v>46381</v>
      </c>
      <c r="F54" s="4" t="str" cm="1">
        <f t="array" ref="F54">_xlfn.LET(_xlpm.r,1+(ROW(A13)-1)*6,_xlfn.VALUETOTEXT(INDEX(Obracunski_sati!C:C,_xlpm.r)))</f>
        <v/>
      </c>
      <c r="G54" s="4" cm="1">
        <f t="array" ref="G54">_xlfn.LET(
_xlpm.r,2+(ROW(A13)-1)*6,
IFERROR(
SUMPRODUCT(
--($D$28:$D$55&gt;=DATE(INDEX(Obracunski_sati!B:B,_xlpm.r),INDEX(Obracunski_sati!C:C,_xlpm.r),INDEX(Obracunski_sati!D:D,_xlpm.r))),
--($D$28:$D$55&lt;=DATE(INDEX(Obracunski_sati!B:B,_xlpm.r+1),INDEX(Obracunski_sati!C:C,_xlpm.r+1),INDEX(Obracunski_sati!D:D,_xlpm.r+1))),
--(WEEKDAY($D$28:$D$55,2)&lt;6)
)*8,
0)
)</f>
        <v>0</v>
      </c>
      <c r="H54" s="59" t="str" cm="1">
        <f t="array" ref="H54">_xlfn.LET(_xlpm.r,2+(ROW(A13)-1)*6,IFERROR(DATE(INDEX(Obracunski_sati!B:B,_xlpm.r),INDEX(Obracunski_sati!C:C,_xlpm.r),INDEX(Obracunski_sati!D:D,_xlpm.r)),""))</f>
        <v/>
      </c>
      <c r="I54" s="4" cm="1">
        <f t="array" ref="I54">_xlfn.LET(_xlpm.r,4+(ROW(A13)-1)*6,INDEX(Obracunski_sati!B:B,_xlpm.r))</f>
        <v>0</v>
      </c>
      <c r="J54" s="19">
        <f t="shared" si="2"/>
        <v>0</v>
      </c>
      <c r="L54" s="61" t="s">
        <v>630</v>
      </c>
      <c r="M54" s="63" cm="1">
        <f t="array" ref="M54">SUM(SUMIF(Helper!$F$42:$F$72,{"HZZO(njega)"},Helper!$I$42:$I$72))</f>
        <v>0</v>
      </c>
    </row>
    <row r="55" spans="4:13" x14ac:dyDescent="0.25">
      <c r="D55" s="59">
        <v>46382</v>
      </c>
      <c r="F55" s="4" t="str" cm="1">
        <f t="array" ref="F55">_xlfn.LET(_xlpm.r,1+(ROW(A14)-1)*6,_xlfn.VALUETOTEXT(INDEX(Obracunski_sati!C:C,_xlpm.r)))</f>
        <v/>
      </c>
      <c r="G55" s="4" cm="1">
        <f t="array" ref="G55">_xlfn.LET(
_xlpm.r,2+(ROW(A14)-1)*6,
IFERROR(
SUMPRODUCT(
--($D$28:$D$55&gt;=DATE(INDEX(Obracunski_sati!B:B,_xlpm.r),INDEX(Obracunski_sati!C:C,_xlpm.r),INDEX(Obracunski_sati!D:D,_xlpm.r))),
--($D$28:$D$55&lt;=DATE(INDEX(Obracunski_sati!B:B,_xlpm.r+1),INDEX(Obracunski_sati!C:C,_xlpm.r+1),INDEX(Obracunski_sati!D:D,_xlpm.r+1))),
--(WEEKDAY($D$28:$D$55,2)&lt;6)
)*8,
0)
)</f>
        <v>0</v>
      </c>
      <c r="H55" s="59" t="str" cm="1">
        <f t="array" ref="H55">_xlfn.LET(_xlpm.r,2+(ROW(A14)-1)*6,IFERROR(DATE(INDEX(Obracunski_sati!B:B,_xlpm.r),INDEX(Obracunski_sati!C:C,_xlpm.r),INDEX(Obracunski_sati!D:D,_xlpm.r)),""))</f>
        <v/>
      </c>
      <c r="I55" s="4" cm="1">
        <f t="array" ref="I55">_xlfn.LET(_xlpm.r,4+(ROW(A14)-1)*6,INDEX(Obracunski_sati!B:B,_xlpm.r))</f>
        <v>0</v>
      </c>
      <c r="J55" s="19">
        <f t="shared" si="2"/>
        <v>0</v>
      </c>
      <c r="L55" s="61" t="s">
        <v>631</v>
      </c>
      <c r="M55" s="63" cm="1">
        <f t="array" ref="M55">SUM(SUMIF(Helper!$F$42:$F$72,{"HZZO(njega-7)"},Helper!$I$42:$I$72))</f>
        <v>0</v>
      </c>
    </row>
    <row r="56" spans="4:13" x14ac:dyDescent="0.25">
      <c r="F56" s="4" t="str" cm="1">
        <f t="array" ref="F56">_xlfn.LET(_xlpm.r,1+(ROW(A15)-1)*6,_xlfn.VALUETOTEXT(INDEX(Obracunski_sati!C:C,_xlpm.r)))</f>
        <v/>
      </c>
      <c r="G56" s="4" cm="1">
        <f t="array" ref="G56">_xlfn.LET(
_xlpm.r,2+(ROW(A15)-1)*6,
IFERROR(
SUMPRODUCT(
--($D$28:$D$55&gt;=DATE(INDEX(Obracunski_sati!B:B,_xlpm.r),INDEX(Obracunski_sati!C:C,_xlpm.r),INDEX(Obracunski_sati!D:D,_xlpm.r))),
--($D$28:$D$55&lt;=DATE(INDEX(Obracunski_sati!B:B,_xlpm.r+1),INDEX(Obracunski_sati!C:C,_xlpm.r+1),INDEX(Obracunski_sati!D:D,_xlpm.r+1))),
--(WEEKDAY($D$28:$D$55,2)&lt;6)
)*8,
0)
)</f>
        <v>0</v>
      </c>
      <c r="H56" s="59" t="str" cm="1">
        <f t="array" ref="H56">_xlfn.LET(_xlpm.r,2+(ROW(A15)-1)*6,IFERROR(DATE(INDEX(Obracunski_sati!B:B,_xlpm.r),INDEX(Obracunski_sati!C:C,_xlpm.r),INDEX(Obracunski_sati!D:D,_xlpm.r)),""))</f>
        <v/>
      </c>
      <c r="I56" s="4" cm="1">
        <f t="array" ref="I56">_xlfn.LET(_xlpm.r,4+(ROW(A15)-1)*6,INDEX(Obracunski_sati!B:B,_xlpm.r))</f>
        <v>0</v>
      </c>
      <c r="J56" s="19">
        <f t="shared" si="2"/>
        <v>0</v>
      </c>
      <c r="K56" s="65"/>
      <c r="L56" s="63" t="s">
        <v>634</v>
      </c>
      <c r="M56" s="63" cm="1">
        <f t="array" ref="M56">SUM(SUMIF(Helper!$F$42:$F$72,{"HZZO(ozljeda)"},Helper!$I$42:$I$72))</f>
        <v>0</v>
      </c>
    </row>
    <row r="57" spans="4:13" x14ac:dyDescent="0.25">
      <c r="F57" s="4" t="str" cm="1">
        <f t="array" ref="F57">_xlfn.LET(_xlpm.r,1+(ROW(A16)-1)*6,_xlfn.VALUETOTEXT(INDEX(Obracunski_sati!C:C,_xlpm.r)))</f>
        <v/>
      </c>
      <c r="G57" s="4" cm="1">
        <f t="array" ref="G57">_xlfn.LET(
_xlpm.r,2+(ROW(A16)-1)*6,
IFERROR(
SUMPRODUCT(
--($D$28:$D$55&gt;=DATE(INDEX(Obracunski_sati!B:B,_xlpm.r),INDEX(Obracunski_sati!C:C,_xlpm.r),INDEX(Obracunski_sati!D:D,_xlpm.r))),
--($D$28:$D$55&lt;=DATE(INDEX(Obracunski_sati!B:B,_xlpm.r+1),INDEX(Obracunski_sati!C:C,_xlpm.r+1),INDEX(Obracunski_sati!D:D,_xlpm.r+1))),
--(WEEKDAY($D$28:$D$55,2)&lt;6)
)*8,
0)
)</f>
        <v>0</v>
      </c>
      <c r="H57" s="59" t="str" cm="1">
        <f t="array" ref="H57">_xlfn.LET(_xlpm.r,2+(ROW(A16)-1)*6,IFERROR(DATE(INDEX(Obracunski_sati!B:B,_xlpm.r),INDEX(Obracunski_sati!C:C,_xlpm.r),INDEX(Obracunski_sati!D:D,_xlpm.r)),""))</f>
        <v/>
      </c>
      <c r="I57" s="4" cm="1">
        <f t="array" ref="I57">_xlfn.LET(_xlpm.r,4+(ROW(A16)-1)*6,INDEX(Obracunski_sati!B:B,_xlpm.r))</f>
        <v>0</v>
      </c>
      <c r="J57" s="19">
        <f t="shared" si="2"/>
        <v>0</v>
      </c>
    </row>
    <row r="58" spans="4:13" x14ac:dyDescent="0.25">
      <c r="F58" s="4" t="str" cm="1">
        <f t="array" ref="F58">_xlfn.LET(_xlpm.r,1+(ROW(A17)-1)*6,_xlfn.VALUETOTEXT(INDEX(Obracunski_sati!C:C,_xlpm.r)))</f>
        <v/>
      </c>
      <c r="G58" s="4" cm="1">
        <f t="array" ref="G58">_xlfn.LET(
_xlpm.r,2+(ROW(A17)-1)*6,
IFERROR(
SUMPRODUCT(
--($D$28:$D$55&gt;=DATE(INDEX(Obracunski_sati!B:B,_xlpm.r),INDEX(Obracunski_sati!C:C,_xlpm.r),INDEX(Obracunski_sati!D:D,_xlpm.r))),
--($D$28:$D$55&lt;=DATE(INDEX(Obracunski_sati!B:B,_xlpm.r+1),INDEX(Obracunski_sati!C:C,_xlpm.r+1),INDEX(Obracunski_sati!D:D,_xlpm.r+1))),
--(WEEKDAY($D$28:$D$55,2)&lt;6)
)*8,
0)
)</f>
        <v>0</v>
      </c>
      <c r="H58" s="59" t="str" cm="1">
        <f t="array" ref="H58">_xlfn.LET(_xlpm.r,2+(ROW(A17)-1)*6,IFERROR(DATE(INDEX(Obracunski_sati!B:B,_xlpm.r),INDEX(Obracunski_sati!C:C,_xlpm.r),INDEX(Obracunski_sati!D:D,_xlpm.r)),""))</f>
        <v/>
      </c>
      <c r="I58" s="4" cm="1">
        <f t="array" ref="I58">_xlfn.LET(_xlpm.r,4+(ROW(A17)-1)*6,INDEX(Obracunski_sati!B:B,_xlpm.r))</f>
        <v>0</v>
      </c>
      <c r="J58" s="19">
        <f t="shared" si="2"/>
        <v>0</v>
      </c>
    </row>
    <row r="59" spans="4:13" x14ac:dyDescent="0.25">
      <c r="F59" s="4" t="str" cm="1">
        <f t="array" ref="F59">_xlfn.LET(_xlpm.r,1+(ROW(A18)-1)*6,_xlfn.VALUETOTEXT(INDEX(Obracunski_sati!C:C,_xlpm.r)))</f>
        <v/>
      </c>
      <c r="G59" s="4" cm="1">
        <f t="array" ref="G59">_xlfn.LET(
_xlpm.r,2+(ROW(A18)-1)*6,
IFERROR(
SUMPRODUCT(
--($D$28:$D$55&gt;=DATE(INDEX(Obracunski_sati!B:B,_xlpm.r),INDEX(Obracunski_sati!C:C,_xlpm.r),INDEX(Obracunski_sati!D:D,_xlpm.r))),
--($D$28:$D$55&lt;=DATE(INDEX(Obracunski_sati!B:B,_xlpm.r+1),INDEX(Obracunski_sati!C:C,_xlpm.r+1),INDEX(Obracunski_sati!D:D,_xlpm.r+1))),
--(WEEKDAY($D$28:$D$55,2)&lt;6)
)*8,
0)
)</f>
        <v>0</v>
      </c>
      <c r="H59" s="59" t="str" cm="1">
        <f t="array" ref="H59">_xlfn.LET(_xlpm.r,2+(ROW(A18)-1)*6,IFERROR(DATE(INDEX(Obracunski_sati!B:B,_xlpm.r),INDEX(Obracunski_sati!C:C,_xlpm.r),INDEX(Obracunski_sati!D:D,_xlpm.r)),""))</f>
        <v/>
      </c>
      <c r="I59" s="4" cm="1">
        <f t="array" ref="I59">_xlfn.LET(_xlpm.r,4+(ROW(A18)-1)*6,INDEX(Obracunski_sati!B:B,_xlpm.r))</f>
        <v>0</v>
      </c>
      <c r="J59" s="19">
        <f t="shared" si="2"/>
        <v>0</v>
      </c>
    </row>
    <row r="60" spans="4:13" x14ac:dyDescent="0.25">
      <c r="F60" s="4" t="str" cm="1">
        <f t="array" ref="F60">_xlfn.LET(_xlpm.r,1+(ROW(A19)-1)*6,_xlfn.VALUETOTEXT(INDEX(Obracunski_sati!C:C,_xlpm.r)))</f>
        <v/>
      </c>
      <c r="G60" s="4" cm="1">
        <f t="array" ref="G60">_xlfn.LET(
_xlpm.r,2+(ROW(A19)-1)*6,
IFERROR(
SUMPRODUCT(
--($D$28:$D$55&gt;=DATE(INDEX(Obracunski_sati!B:B,_xlpm.r),INDEX(Obracunski_sati!C:C,_xlpm.r),INDEX(Obracunski_sati!D:D,_xlpm.r))),
--($D$28:$D$55&lt;=DATE(INDEX(Obracunski_sati!B:B,_xlpm.r+1),INDEX(Obracunski_sati!C:C,_xlpm.r+1),INDEX(Obracunski_sati!D:D,_xlpm.r+1))),
--(WEEKDAY($D$28:$D$55,2)&lt;6)
)*8,
0)
)</f>
        <v>0</v>
      </c>
      <c r="H60" s="59" t="str" cm="1">
        <f t="array" ref="H60">_xlfn.LET(_xlpm.r,2+(ROW(A19)-1)*6,IFERROR(DATE(INDEX(Obracunski_sati!B:B,_xlpm.r),INDEX(Obracunski_sati!C:C,_xlpm.r),INDEX(Obracunski_sati!D:D,_xlpm.r)),""))</f>
        <v/>
      </c>
      <c r="I60" s="4" cm="1">
        <f t="array" ref="I60">_xlfn.LET(_xlpm.r,4+(ROW(A19)-1)*6,INDEX(Obracunski_sati!B:B,_xlpm.r))</f>
        <v>0</v>
      </c>
      <c r="J60" s="19">
        <f t="shared" si="2"/>
        <v>0</v>
      </c>
    </row>
    <row r="61" spans="4:13" x14ac:dyDescent="0.25">
      <c r="F61" s="4" t="str" cm="1">
        <f t="array" ref="F61">_xlfn.LET(_xlpm.r,1+(ROW(A20)-1)*6,_xlfn.VALUETOTEXT(INDEX(Obracunski_sati!C:C,_xlpm.r)))</f>
        <v/>
      </c>
      <c r="G61" s="4" cm="1">
        <f t="array" ref="G61">_xlfn.LET(
_xlpm.r,2+(ROW(A20)-1)*6,
IFERROR(
SUMPRODUCT(
--($D$28:$D$55&gt;=DATE(INDEX(Obracunski_sati!B:B,_xlpm.r),INDEX(Obracunski_sati!C:C,_xlpm.r),INDEX(Obracunski_sati!D:D,_xlpm.r))),
--($D$28:$D$55&lt;=DATE(INDEX(Obracunski_sati!B:B,_xlpm.r+1),INDEX(Obracunski_sati!C:C,_xlpm.r+1),INDEX(Obracunski_sati!D:D,_xlpm.r+1))),
--(WEEKDAY($D$28:$D$55,2)&lt;6)
)*8,
0)
)</f>
        <v>0</v>
      </c>
      <c r="H61" s="59" t="str" cm="1">
        <f t="array" ref="H61">_xlfn.LET(_xlpm.r,2+(ROW(A20)-1)*6,IFERROR(DATE(INDEX(Obracunski_sati!B:B,_xlpm.r),INDEX(Obracunski_sati!C:C,_xlpm.r),INDEX(Obracunski_sati!D:D,_xlpm.r)),""))</f>
        <v/>
      </c>
      <c r="I61" s="4" cm="1">
        <f t="array" ref="I61">_xlfn.LET(_xlpm.r,4+(ROW(A20)-1)*6,INDEX(Obracunski_sati!B:B,_xlpm.r))</f>
        <v>0</v>
      </c>
      <c r="J61" s="19">
        <f t="shared" si="2"/>
        <v>0</v>
      </c>
    </row>
    <row r="62" spans="4:13" x14ac:dyDescent="0.25">
      <c r="F62" s="4" t="str" cm="1">
        <f t="array" ref="F62">_xlfn.LET(_xlpm.r,1+(ROW(A21)-1)*6,_xlfn.VALUETOTEXT(INDEX(Obracunski_sati!C:C,_xlpm.r)))</f>
        <v/>
      </c>
      <c r="G62" s="4" cm="1">
        <f t="array" ref="G62">_xlfn.LET(
_xlpm.r,2+(ROW(A21)-1)*6,
IFERROR(
SUMPRODUCT(
--($D$28:$D$55&gt;=DATE(INDEX(Obracunski_sati!B:B,_xlpm.r),INDEX(Obracunski_sati!C:C,_xlpm.r),INDEX(Obracunski_sati!D:D,_xlpm.r))),
--($D$28:$D$55&lt;=DATE(INDEX(Obracunski_sati!B:B,_xlpm.r+1),INDEX(Obracunski_sati!C:C,_xlpm.r+1),INDEX(Obracunski_sati!D:D,_xlpm.r+1))),
--(WEEKDAY($D$28:$D$55,2)&lt;6)
)*8,
0)
)</f>
        <v>0</v>
      </c>
      <c r="H62" s="59" t="str" cm="1">
        <f t="array" ref="H62">_xlfn.LET(_xlpm.r,2+(ROW(A21)-1)*6,IFERROR(DATE(INDEX(Obracunski_sati!B:B,_xlpm.r),INDEX(Obracunski_sati!C:C,_xlpm.r),INDEX(Obracunski_sati!D:D,_xlpm.r)),""))</f>
        <v/>
      </c>
      <c r="I62" s="4" cm="1">
        <f t="array" ref="I62">_xlfn.LET(_xlpm.r,4+(ROW(A21)-1)*6,INDEX(Obracunski_sati!B:B,_xlpm.r))</f>
        <v>0</v>
      </c>
      <c r="J62" s="19">
        <f t="shared" si="2"/>
        <v>0</v>
      </c>
    </row>
    <row r="63" spans="4:13" x14ac:dyDescent="0.25">
      <c r="F63" s="4" t="str" cm="1">
        <f t="array" ref="F63">_xlfn.LET(_xlpm.r,1+(ROW(A22)-1)*6,_xlfn.VALUETOTEXT(INDEX(Obracunski_sati!C:C,_xlpm.r)))</f>
        <v/>
      </c>
      <c r="G63" s="4" cm="1">
        <f t="array" ref="G63">_xlfn.LET(
_xlpm.r,2+(ROW(A22)-1)*6,
IFERROR(
SUMPRODUCT(
--($D$28:$D$55&gt;=DATE(INDEX(Obracunski_sati!B:B,_xlpm.r),INDEX(Obracunski_sati!C:C,_xlpm.r),INDEX(Obracunski_sati!D:D,_xlpm.r))),
--($D$28:$D$55&lt;=DATE(INDEX(Obracunski_sati!B:B,_xlpm.r+1),INDEX(Obracunski_sati!C:C,_xlpm.r+1),INDEX(Obracunski_sati!D:D,_xlpm.r+1))),
--(WEEKDAY($D$28:$D$55,2)&lt;6)
)*8,
0)
)</f>
        <v>0</v>
      </c>
      <c r="H63" s="59" t="str" cm="1">
        <f t="array" ref="H63">_xlfn.LET(_xlpm.r,2+(ROW(A22)-1)*6,IFERROR(DATE(INDEX(Obracunski_sati!B:B,_xlpm.r),INDEX(Obracunski_sati!C:C,_xlpm.r),INDEX(Obracunski_sati!D:D,_xlpm.r)),""))</f>
        <v/>
      </c>
      <c r="I63" s="4" cm="1">
        <f t="array" ref="I63">_xlfn.LET(_xlpm.r,4+(ROW(A22)-1)*6,INDEX(Obracunski_sati!B:B,_xlpm.r))</f>
        <v>0</v>
      </c>
      <c r="J63" s="19">
        <f t="shared" si="2"/>
        <v>0</v>
      </c>
    </row>
    <row r="64" spans="4:13" x14ac:dyDescent="0.25">
      <c r="F64" s="4" t="str" cm="1">
        <f t="array" ref="F64">_xlfn.LET(_xlpm.r,1+(ROW(A23)-1)*6,_xlfn.VALUETOTEXT(INDEX(Obracunski_sati!C:C,_xlpm.r)))</f>
        <v/>
      </c>
      <c r="G64" s="4" cm="1">
        <f t="array" ref="G64">_xlfn.LET(
_xlpm.r,2+(ROW(A23)-1)*6,
IFERROR(
SUMPRODUCT(
--($D$28:$D$55&gt;=DATE(INDEX(Obracunski_sati!B:B,_xlpm.r),INDEX(Obracunski_sati!C:C,_xlpm.r),INDEX(Obracunski_sati!D:D,_xlpm.r))),
--($D$28:$D$55&lt;=DATE(INDEX(Obracunski_sati!B:B,_xlpm.r+1),INDEX(Obracunski_sati!C:C,_xlpm.r+1),INDEX(Obracunski_sati!D:D,_xlpm.r+1))),
--(WEEKDAY($D$28:$D$55,2)&lt;6)
)*8,
0)
)</f>
        <v>0</v>
      </c>
      <c r="H64" s="59" t="str" cm="1">
        <f t="array" ref="H64">_xlfn.LET(_xlpm.r,2+(ROW(A23)-1)*6,IFERROR(DATE(INDEX(Obracunski_sati!B:B,_xlpm.r),INDEX(Obracunski_sati!C:C,_xlpm.r),INDEX(Obracunski_sati!D:D,_xlpm.r)),""))</f>
        <v/>
      </c>
      <c r="I64" s="4" cm="1">
        <f t="array" ref="I64">_xlfn.LET(_xlpm.r,4+(ROW(A23)-1)*6,INDEX(Obracunski_sati!B:B,_xlpm.r))</f>
        <v>0</v>
      </c>
      <c r="J64" s="19">
        <f t="shared" si="2"/>
        <v>0</v>
      </c>
    </row>
    <row r="65" spans="6:10" x14ac:dyDescent="0.25">
      <c r="F65" s="4" t="str" cm="1">
        <f t="array" ref="F65">_xlfn.LET(_xlpm.r,1+(ROW(A24)-1)*6,_xlfn.VALUETOTEXT(INDEX(Obracunski_sati!C:C,_xlpm.r)))</f>
        <v/>
      </c>
      <c r="G65" s="4" cm="1">
        <f t="array" ref="G65">_xlfn.LET(
_xlpm.r,2+(ROW(A24)-1)*6,
IFERROR(
SUMPRODUCT(
--($D$28:$D$55&gt;=DATE(INDEX(Obracunski_sati!B:B,_xlpm.r),INDEX(Obracunski_sati!C:C,_xlpm.r),INDEX(Obracunski_sati!D:D,_xlpm.r))),
--($D$28:$D$55&lt;=DATE(INDEX(Obracunski_sati!B:B,_xlpm.r+1),INDEX(Obracunski_sati!C:C,_xlpm.r+1),INDEX(Obracunski_sati!D:D,_xlpm.r+1))),
--(WEEKDAY($D$28:$D$55,2)&lt;6)
)*8,
0)
)</f>
        <v>0</v>
      </c>
      <c r="H65" s="59" t="str" cm="1">
        <f t="array" ref="H65">_xlfn.LET(_xlpm.r,2+(ROW(A24)-1)*6,IFERROR(DATE(INDEX(Obracunski_sati!B:B,_xlpm.r),INDEX(Obracunski_sati!C:C,_xlpm.r),INDEX(Obracunski_sati!D:D,_xlpm.r)),""))</f>
        <v/>
      </c>
      <c r="I65" s="4" cm="1">
        <f t="array" ref="I65">_xlfn.LET(_xlpm.r,4+(ROW(A24)-1)*6,INDEX(Obracunski_sati!B:B,_xlpm.r))</f>
        <v>0</v>
      </c>
      <c r="J65" s="19">
        <f t="shared" si="2"/>
        <v>0</v>
      </c>
    </row>
    <row r="66" spans="6:10" x14ac:dyDescent="0.25">
      <c r="F66" s="4" t="str" cm="1">
        <f t="array" ref="F66">_xlfn.LET(_xlpm.r,1+(ROW(A25)-1)*6,_xlfn.VALUETOTEXT(INDEX(Obracunski_sati!C:C,_xlpm.r)))</f>
        <v/>
      </c>
      <c r="G66" s="4" cm="1">
        <f t="array" ref="G66">_xlfn.LET(
_xlpm.r,2+(ROW(A25)-1)*6,
IFERROR(
SUMPRODUCT(
--($D$28:$D$55&gt;=DATE(INDEX(Obracunski_sati!B:B,_xlpm.r),INDEX(Obracunski_sati!C:C,_xlpm.r),INDEX(Obracunski_sati!D:D,_xlpm.r))),
--($D$28:$D$55&lt;=DATE(INDEX(Obracunski_sati!B:B,_xlpm.r+1),INDEX(Obracunski_sati!C:C,_xlpm.r+1),INDEX(Obracunski_sati!D:D,_xlpm.r+1))),
--(WEEKDAY($D$28:$D$55,2)&lt;6)
)*8,
0)
)</f>
        <v>0</v>
      </c>
      <c r="H66" s="59" t="str" cm="1">
        <f t="array" ref="H66">_xlfn.LET(_xlpm.r,2+(ROW(A25)-1)*6,IFERROR(DATE(INDEX(Obracunski_sati!B:B,_xlpm.r),INDEX(Obracunski_sati!C:C,_xlpm.r),INDEX(Obracunski_sati!D:D,_xlpm.r)),""))</f>
        <v/>
      </c>
      <c r="I66" s="4" cm="1">
        <f t="array" ref="I66">_xlfn.LET(_xlpm.r,4+(ROW(A25)-1)*6,INDEX(Obracunski_sati!B:B,_xlpm.r))</f>
        <v>0</v>
      </c>
      <c r="J66" s="19">
        <f t="shared" si="2"/>
        <v>0</v>
      </c>
    </row>
    <row r="67" spans="6:10" x14ac:dyDescent="0.25">
      <c r="F67" s="4" t="str" cm="1">
        <f t="array" ref="F67">_xlfn.LET(_xlpm.r,1+(ROW(A26)-1)*6,_xlfn.VALUETOTEXT(INDEX(Obracunski_sati!C:C,_xlpm.r)))</f>
        <v/>
      </c>
      <c r="G67" s="4" cm="1">
        <f t="array" ref="G67">_xlfn.LET(
_xlpm.r,2+(ROW(A26)-1)*6,
IFERROR(
SUMPRODUCT(
--($D$28:$D$55&gt;=DATE(INDEX(Obracunski_sati!B:B,_xlpm.r),INDEX(Obracunski_sati!C:C,_xlpm.r),INDEX(Obracunski_sati!D:D,_xlpm.r))),
--($D$28:$D$55&lt;=DATE(INDEX(Obracunski_sati!B:B,_xlpm.r+1),INDEX(Obracunski_sati!C:C,_xlpm.r+1),INDEX(Obracunski_sati!D:D,_xlpm.r+1))),
--(WEEKDAY($D$28:$D$55,2)&lt;6)
)*8,
0)
)</f>
        <v>0</v>
      </c>
      <c r="H67" s="59" t="str" cm="1">
        <f t="array" ref="H67">_xlfn.LET(_xlpm.r,2+(ROW(A26)-1)*6,IFERROR(DATE(INDEX(Obracunski_sati!B:B,_xlpm.r),INDEX(Obracunski_sati!C:C,_xlpm.r),INDEX(Obracunski_sati!D:D,_xlpm.r)),""))</f>
        <v/>
      </c>
      <c r="I67" s="4" cm="1">
        <f t="array" ref="I67">_xlfn.LET(_xlpm.r,4+(ROW(A26)-1)*6,INDEX(Obracunski_sati!B:B,_xlpm.r))</f>
        <v>0</v>
      </c>
      <c r="J67" s="19">
        <f t="shared" si="2"/>
        <v>0</v>
      </c>
    </row>
    <row r="68" spans="6:10" x14ac:dyDescent="0.25">
      <c r="F68" s="4" t="str" cm="1">
        <f t="array" ref="F68">_xlfn.LET(_xlpm.r,1+(ROW(A27)-1)*6,_xlfn.VALUETOTEXT(INDEX(Obracunski_sati!C:C,_xlpm.r)))</f>
        <v/>
      </c>
      <c r="G68" s="4" cm="1">
        <f t="array" ref="G68">_xlfn.LET(
_xlpm.r,2+(ROW(A27)-1)*6,
IFERROR(
SUMPRODUCT(
--($D$28:$D$55&gt;=DATE(INDEX(Obracunski_sati!B:B,_xlpm.r),INDEX(Obracunski_sati!C:C,_xlpm.r),INDEX(Obracunski_sati!D:D,_xlpm.r))),
--($D$28:$D$55&lt;=DATE(INDEX(Obracunski_sati!B:B,_xlpm.r+1),INDEX(Obracunski_sati!C:C,_xlpm.r+1),INDEX(Obracunski_sati!D:D,_xlpm.r+1))),
--(WEEKDAY($D$28:$D$55,2)&lt;6)
)*8,
0)
)</f>
        <v>0</v>
      </c>
      <c r="H68" s="59" t="str" cm="1">
        <f t="array" ref="H68">_xlfn.LET(_xlpm.r,2+(ROW(A27)-1)*6,IFERROR(DATE(INDEX(Obracunski_sati!B:B,_xlpm.r),INDEX(Obracunski_sati!C:C,_xlpm.r),INDEX(Obracunski_sati!D:D,_xlpm.r)),""))</f>
        <v/>
      </c>
      <c r="I68" s="4" cm="1">
        <f t="array" ref="I68">_xlfn.LET(_xlpm.r,4+(ROW(A27)-1)*6,INDEX(Obracunski_sati!B:B,_xlpm.r))</f>
        <v>0</v>
      </c>
      <c r="J68" s="19">
        <f t="shared" si="2"/>
        <v>0</v>
      </c>
    </row>
    <row r="69" spans="6:10" x14ac:dyDescent="0.25">
      <c r="F69" s="4" t="str" cm="1">
        <f t="array" ref="F69">_xlfn.LET(_xlpm.r,1+(ROW(A28)-1)*6,_xlfn.VALUETOTEXT(INDEX(Obracunski_sati!C:C,_xlpm.r)))</f>
        <v/>
      </c>
      <c r="G69" s="4" cm="1">
        <f t="array" ref="G69">_xlfn.LET(
_xlpm.r,2+(ROW(A28)-1)*6,
IFERROR(
SUMPRODUCT(
--($D$28:$D$55&gt;=DATE(INDEX(Obracunski_sati!B:B,_xlpm.r),INDEX(Obracunski_sati!C:C,_xlpm.r),INDEX(Obracunski_sati!D:D,_xlpm.r))),
--($D$28:$D$55&lt;=DATE(INDEX(Obracunski_sati!B:B,_xlpm.r+1),INDEX(Obracunski_sati!C:C,_xlpm.r+1),INDEX(Obracunski_sati!D:D,_xlpm.r+1))),
--(WEEKDAY($D$28:$D$55,2)&lt;6)
)*8,
0)
)</f>
        <v>0</v>
      </c>
      <c r="H69" s="59" t="str" cm="1">
        <f t="array" ref="H69">_xlfn.LET(_xlpm.r,2+(ROW(A28)-1)*6,IFERROR(DATE(INDEX(Obracunski_sati!B:B,_xlpm.r),INDEX(Obracunski_sati!C:C,_xlpm.r),INDEX(Obracunski_sati!D:D,_xlpm.r)),""))</f>
        <v/>
      </c>
      <c r="I69" s="4" cm="1">
        <f t="array" ref="I69">_xlfn.LET(_xlpm.r,4+(ROW(A28)-1)*6,INDEX(Obracunski_sati!B:B,_xlpm.r))</f>
        <v>0</v>
      </c>
      <c r="J69" s="19">
        <f t="shared" si="2"/>
        <v>0</v>
      </c>
    </row>
    <row r="70" spans="6:10" x14ac:dyDescent="0.25">
      <c r="F70" s="4" t="str" cm="1">
        <f t="array" ref="F70">_xlfn.LET(_xlpm.r,1+(ROW(A29)-1)*6,_xlfn.VALUETOTEXT(INDEX(Obracunski_sati!C:C,_xlpm.r)))</f>
        <v/>
      </c>
      <c r="G70" s="4" cm="1">
        <f t="array" ref="G70">_xlfn.LET(
_xlpm.r,2+(ROW(A29)-1)*6,
IFERROR(
SUMPRODUCT(
--($D$28:$D$55&gt;=DATE(INDEX(Obracunski_sati!B:B,_xlpm.r),INDEX(Obracunski_sati!C:C,_xlpm.r),INDEX(Obracunski_sati!D:D,_xlpm.r))),
--($D$28:$D$55&lt;=DATE(INDEX(Obracunski_sati!B:B,_xlpm.r+1),INDEX(Obracunski_sati!C:C,_xlpm.r+1),INDEX(Obracunski_sati!D:D,_xlpm.r+1))),
--(WEEKDAY($D$28:$D$55,2)&lt;6)
)*8,
0)
)</f>
        <v>0</v>
      </c>
      <c r="H70" s="59" t="str" cm="1">
        <f t="array" ref="H70">_xlfn.LET(_xlpm.r,2+(ROW(A29)-1)*6,IFERROR(DATE(INDEX(Obracunski_sati!B:B,_xlpm.r),INDEX(Obracunski_sati!C:C,_xlpm.r),INDEX(Obracunski_sati!D:D,_xlpm.r)),""))</f>
        <v/>
      </c>
      <c r="I70" s="4" cm="1">
        <f t="array" ref="I70">_xlfn.LET(_xlpm.r,4+(ROW(A29)-1)*6,INDEX(Obracunski_sati!B:B,_xlpm.r))</f>
        <v>0</v>
      </c>
      <c r="J70" s="19">
        <f t="shared" si="2"/>
        <v>0</v>
      </c>
    </row>
    <row r="71" spans="6:10" x14ac:dyDescent="0.25">
      <c r="F71" s="4" t="str" cm="1">
        <f t="array" ref="F71">_xlfn.LET(_xlpm.r,1+(ROW(A30)-1)*6,_xlfn.VALUETOTEXT(INDEX(Obracunski_sati!C:C,_xlpm.r)))</f>
        <v/>
      </c>
      <c r="G71" s="4" cm="1">
        <f t="array" ref="G71">_xlfn.LET(
_xlpm.r,2+(ROW(A30)-1)*6,
IFERROR(
SUMPRODUCT(
--($D$28:$D$55&gt;=DATE(INDEX(Obracunski_sati!B:B,_xlpm.r),INDEX(Obracunski_sati!C:C,_xlpm.r),INDEX(Obracunski_sati!D:D,_xlpm.r))),
--($D$28:$D$55&lt;=DATE(INDEX(Obracunski_sati!B:B,_xlpm.r+1),INDEX(Obracunski_sati!C:C,_xlpm.r+1),INDEX(Obracunski_sati!D:D,_xlpm.r+1))),
--(WEEKDAY($D$28:$D$55,2)&lt;6)
)*8,
0)
)</f>
        <v>0</v>
      </c>
      <c r="H71" s="59" t="str" cm="1">
        <f t="array" ref="H71">_xlfn.LET(_xlpm.r,2+(ROW(A30)-1)*6,IFERROR(DATE(INDEX(Obracunski_sati!B:B,_xlpm.r),INDEX(Obracunski_sati!C:C,_xlpm.r),INDEX(Obracunski_sati!D:D,_xlpm.r)),""))</f>
        <v/>
      </c>
      <c r="I71" s="4" cm="1">
        <f t="array" ref="I71">_xlfn.LET(_xlpm.r,4+(ROW(A30)-1)*6,INDEX(Obracunski_sati!B:B,_xlpm.r))</f>
        <v>0</v>
      </c>
      <c r="J71" s="19">
        <f t="shared" si="2"/>
        <v>0</v>
      </c>
    </row>
    <row r="72" spans="6:10" x14ac:dyDescent="0.25">
      <c r="F72" s="4" t="str" cm="1">
        <f t="array" ref="F72">_xlfn.LET(_xlpm.r,1+(ROW(A31)-1)*6,_xlfn.VALUETOTEXT(INDEX(Obracunski_sati!C:C,_xlpm.r)))</f>
        <v/>
      </c>
      <c r="G72" s="4" cm="1">
        <f t="array" ref="G72">_xlfn.LET(
_xlpm.r,2+(ROW(A31)-1)*6,
IFERROR(
SUMPRODUCT(
--($D$28:$D$55&gt;=DATE(INDEX(Obracunski_sati!B:B,_xlpm.r),INDEX(Obracunski_sati!C:C,_xlpm.r),INDEX(Obracunski_sati!D:D,_xlpm.r))),
--($D$28:$D$55&lt;=DATE(INDEX(Obracunski_sati!B:B,_xlpm.r+1),INDEX(Obracunski_sati!C:C,_xlpm.r+1),INDEX(Obracunski_sati!D:D,_xlpm.r+1))),
--(WEEKDAY($D$28:$D$55,2)&lt;6)
)*8,
0)
)</f>
        <v>0</v>
      </c>
      <c r="H72" s="59" t="str" cm="1">
        <f t="array" ref="H72">_xlfn.LET(_xlpm.r,2+(ROW(A31)-1)*6,IFERROR(DATE(INDEX(Obracunski_sati!B:B,_xlpm.r),INDEX(Obracunski_sati!C:C,_xlpm.r),INDEX(Obracunski_sati!D:D,_xlpm.r)),""))</f>
        <v/>
      </c>
      <c r="I72" s="4" cm="1">
        <f t="array" ref="I72">_xlfn.LET(_xlpm.r,4+(ROW(A31)-1)*6,INDEX(Obracunski_sati!B:B,_xlpm.r))</f>
        <v>0</v>
      </c>
      <c r="J72" s="19">
        <f t="shared" si="2"/>
        <v>0</v>
      </c>
    </row>
  </sheetData>
  <sheetProtection algorithmName="SHA-512" hashValue="HzKNK8rjo3coAHzA+q136XOp0pzqSyJ1vWVFEpih8XHQXmJc/s2J5J1epq0GlcIFq1sunVF8+uBfx7q765VzeA==" saltValue="L5w/EgVTQFswB8mSR77SqA==" spinCount="100000" sheet="1" objects="1" scenarios="1"/>
  <mergeCells count="2">
    <mergeCell ref="L49:M49"/>
    <mergeCell ref="L41:M41"/>
  </mergeCells>
  <dataValidations disablePrompts="1" count="1">
    <dataValidation type="list" allowBlank="1" showInputMessage="1" showErrorMessage="1" sqref="X9" xr:uid="{A3C1347F-D694-492C-9C59-DB4F1BD6852C}">
      <formula1>$Y$2:$Y$7</formula1>
    </dataValidation>
  </dataValidations>
  <pageMargins left="0.7" right="0.7" top="0.75" bottom="0.75" header="0.3" footer="0.3"/>
  <ignoredErrors>
    <ignoredError sqref="H32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03224-CF9F-4ECD-BCD7-149B271479BA}">
  <sheetPr codeName="Sheet2"/>
  <dimension ref="A1:C557"/>
  <sheetViews>
    <sheetView workbookViewId="0">
      <selection activeCell="F16" sqref="F16"/>
    </sheetView>
  </sheetViews>
  <sheetFormatPr defaultRowHeight="15" x14ac:dyDescent="0.25"/>
  <cols>
    <col min="1" max="1" width="32.28515625" style="1" bestFit="1" customWidth="1"/>
    <col min="2" max="3" width="10.42578125" style="1" bestFit="1" customWidth="1"/>
    <col min="4" max="16384" width="9.140625" style="1"/>
  </cols>
  <sheetData>
    <row r="1" spans="1:3" ht="30.75" thickBot="1" x14ac:dyDescent="0.3">
      <c r="A1" s="11" t="s">
        <v>34</v>
      </c>
      <c r="B1" s="12" t="s">
        <v>35</v>
      </c>
      <c r="C1" s="13" t="s">
        <v>36</v>
      </c>
    </row>
    <row r="2" spans="1:3" ht="15.75" thickBot="1" x14ac:dyDescent="0.3">
      <c r="A2" s="14" t="s">
        <v>37</v>
      </c>
      <c r="B2" s="15">
        <v>0.2</v>
      </c>
      <c r="C2" s="16">
        <v>0.3</v>
      </c>
    </row>
    <row r="3" spans="1:3" ht="15.75" thickBot="1" x14ac:dyDescent="0.3">
      <c r="A3" s="14" t="s">
        <v>38</v>
      </c>
      <c r="B3" s="15">
        <v>0.2</v>
      </c>
      <c r="C3" s="16">
        <v>0.3</v>
      </c>
    </row>
    <row r="4" spans="1:3" ht="15.75" thickBot="1" x14ac:dyDescent="0.3">
      <c r="A4" s="14" t="s">
        <v>39</v>
      </c>
      <c r="B4" s="15">
        <v>0.2</v>
      </c>
      <c r="C4" s="16">
        <v>0.3</v>
      </c>
    </row>
    <row r="5" spans="1:3" ht="15.75" thickBot="1" x14ac:dyDescent="0.3">
      <c r="A5" s="14" t="s">
        <v>40</v>
      </c>
      <c r="B5" s="15">
        <v>0.2</v>
      </c>
      <c r="C5" s="16">
        <v>0.3</v>
      </c>
    </row>
    <row r="6" spans="1:3" ht="15.75" thickBot="1" x14ac:dyDescent="0.3">
      <c r="A6" s="14" t="s">
        <v>41</v>
      </c>
      <c r="B6" s="15">
        <v>0.2</v>
      </c>
      <c r="C6" s="16">
        <v>0.3</v>
      </c>
    </row>
    <row r="7" spans="1:3" ht="15.75" thickBot="1" x14ac:dyDescent="0.3">
      <c r="A7" s="14" t="s">
        <v>42</v>
      </c>
      <c r="B7" s="15">
        <v>0.2</v>
      </c>
      <c r="C7" s="16">
        <v>0.3</v>
      </c>
    </row>
    <row r="8" spans="1:3" ht="15.75" thickBot="1" x14ac:dyDescent="0.3">
      <c r="A8" s="14" t="s">
        <v>43</v>
      </c>
      <c r="B8" s="15">
        <v>0.2</v>
      </c>
      <c r="C8" s="16">
        <v>0.3</v>
      </c>
    </row>
    <row r="9" spans="1:3" ht="15.75" thickBot="1" x14ac:dyDescent="0.3">
      <c r="A9" s="14" t="s">
        <v>44</v>
      </c>
      <c r="B9" s="15">
        <v>0.15</v>
      </c>
      <c r="C9" s="16">
        <v>0.25</v>
      </c>
    </row>
    <row r="10" spans="1:3" ht="15.75" thickBot="1" x14ac:dyDescent="0.3">
      <c r="A10" s="14" t="s">
        <v>45</v>
      </c>
      <c r="B10" s="15">
        <v>0.17</v>
      </c>
      <c r="C10" s="16">
        <v>0.27</v>
      </c>
    </row>
    <row r="11" spans="1:3" ht="15.75" thickBot="1" x14ac:dyDescent="0.3">
      <c r="A11" s="14" t="s">
        <v>46</v>
      </c>
      <c r="B11" s="15">
        <v>0.2</v>
      </c>
      <c r="C11" s="16">
        <v>0.3</v>
      </c>
    </row>
    <row r="12" spans="1:3" ht="15.75" thickBot="1" x14ac:dyDescent="0.3">
      <c r="A12" s="14" t="s">
        <v>47</v>
      </c>
      <c r="B12" s="15">
        <v>0.2</v>
      </c>
      <c r="C12" s="16">
        <v>0.3</v>
      </c>
    </row>
    <row r="13" spans="1:3" ht="15.75" thickBot="1" x14ac:dyDescent="0.3">
      <c r="A13" s="14" t="s">
        <v>48</v>
      </c>
      <c r="B13" s="15">
        <v>0.2</v>
      </c>
      <c r="C13" s="16">
        <v>0.3</v>
      </c>
    </row>
    <row r="14" spans="1:3" ht="15.75" thickBot="1" x14ac:dyDescent="0.3">
      <c r="A14" s="14" t="s">
        <v>49</v>
      </c>
      <c r="B14" s="15">
        <v>0.2</v>
      </c>
      <c r="C14" s="16">
        <v>0.3</v>
      </c>
    </row>
    <row r="15" spans="1:3" ht="15.75" thickBot="1" x14ac:dyDescent="0.3">
      <c r="A15" s="14" t="s">
        <v>50</v>
      </c>
      <c r="B15" s="15">
        <v>0.2</v>
      </c>
      <c r="C15" s="16">
        <v>0.25</v>
      </c>
    </row>
    <row r="16" spans="1:3" ht="15.75" thickBot="1" x14ac:dyDescent="0.3">
      <c r="A16" s="14" t="s">
        <v>51</v>
      </c>
      <c r="B16" s="15">
        <v>0.2</v>
      </c>
      <c r="C16" s="16">
        <v>0.3</v>
      </c>
    </row>
    <row r="17" spans="1:3" ht="15.75" thickBot="1" x14ac:dyDescent="0.3">
      <c r="A17" s="14" t="s">
        <v>52</v>
      </c>
      <c r="B17" s="15">
        <v>0.2</v>
      </c>
      <c r="C17" s="16">
        <v>0.3</v>
      </c>
    </row>
    <row r="18" spans="1:3" ht="15.75" thickBot="1" x14ac:dyDescent="0.3">
      <c r="A18" s="14" t="s">
        <v>53</v>
      </c>
      <c r="B18" s="15">
        <v>0.2</v>
      </c>
      <c r="C18" s="16">
        <v>0.3</v>
      </c>
    </row>
    <row r="19" spans="1:3" ht="15.75" thickBot="1" x14ac:dyDescent="0.3">
      <c r="A19" s="14" t="s">
        <v>54</v>
      </c>
      <c r="B19" s="15">
        <v>0.2</v>
      </c>
      <c r="C19" s="16">
        <v>0.3</v>
      </c>
    </row>
    <row r="20" spans="1:3" ht="15.75" thickBot="1" x14ac:dyDescent="0.3">
      <c r="A20" s="14" t="s">
        <v>55</v>
      </c>
      <c r="B20" s="15">
        <v>0.2</v>
      </c>
      <c r="C20" s="16">
        <v>0.3</v>
      </c>
    </row>
    <row r="21" spans="1:3" ht="15.75" thickBot="1" x14ac:dyDescent="0.3">
      <c r="A21" s="14" t="s">
        <v>56</v>
      </c>
      <c r="B21" s="15">
        <v>0.2</v>
      </c>
      <c r="C21" s="16">
        <v>0.3</v>
      </c>
    </row>
    <row r="22" spans="1:3" ht="15.75" thickBot="1" x14ac:dyDescent="0.3">
      <c r="A22" s="14" t="s">
        <v>57</v>
      </c>
      <c r="B22" s="15">
        <v>0.2</v>
      </c>
      <c r="C22" s="16">
        <v>0.3</v>
      </c>
    </row>
    <row r="23" spans="1:3" ht="15.75" thickBot="1" x14ac:dyDescent="0.3">
      <c r="A23" s="14" t="s">
        <v>58</v>
      </c>
      <c r="B23" s="15">
        <v>0.2</v>
      </c>
      <c r="C23" s="16">
        <v>0.3</v>
      </c>
    </row>
    <row r="24" spans="1:3" ht="15.75" thickBot="1" x14ac:dyDescent="0.3">
      <c r="A24" s="14" t="s">
        <v>59</v>
      </c>
      <c r="B24" s="15">
        <v>0.2</v>
      </c>
      <c r="C24" s="16">
        <v>0.3</v>
      </c>
    </row>
    <row r="25" spans="1:3" ht="15.75" thickBot="1" x14ac:dyDescent="0.3">
      <c r="A25" s="14" t="s">
        <v>60</v>
      </c>
      <c r="B25" s="15">
        <v>0.2</v>
      </c>
      <c r="C25" s="16">
        <v>0.3</v>
      </c>
    </row>
    <row r="26" spans="1:3" ht="15.75" thickBot="1" x14ac:dyDescent="0.3">
      <c r="A26" s="14" t="s">
        <v>61</v>
      </c>
      <c r="B26" s="15">
        <v>0.2</v>
      </c>
      <c r="C26" s="16">
        <v>0.3</v>
      </c>
    </row>
    <row r="27" spans="1:3" ht="15.75" thickBot="1" x14ac:dyDescent="0.3">
      <c r="A27" s="14" t="s">
        <v>62</v>
      </c>
      <c r="B27" s="15">
        <v>0.2</v>
      </c>
      <c r="C27" s="16">
        <v>0.3</v>
      </c>
    </row>
    <row r="28" spans="1:3" ht="15.75" thickBot="1" x14ac:dyDescent="0.3">
      <c r="A28" s="14" t="s">
        <v>63</v>
      </c>
      <c r="B28" s="15">
        <v>0.18</v>
      </c>
      <c r="C28" s="16">
        <v>0.25</v>
      </c>
    </row>
    <row r="29" spans="1:3" ht="15.75" thickBot="1" x14ac:dyDescent="0.3">
      <c r="A29" s="14" t="s">
        <v>64</v>
      </c>
      <c r="B29" s="15">
        <v>0.2</v>
      </c>
      <c r="C29" s="16">
        <v>0.3</v>
      </c>
    </row>
    <row r="30" spans="1:3" ht="15.75" thickBot="1" x14ac:dyDescent="0.3">
      <c r="A30" s="14" t="s">
        <v>65</v>
      </c>
      <c r="B30" s="15">
        <v>0.2</v>
      </c>
      <c r="C30" s="16">
        <v>0.3</v>
      </c>
    </row>
    <row r="31" spans="1:3" ht="15.75" thickBot="1" x14ac:dyDescent="0.3">
      <c r="A31" s="14" t="s">
        <v>66</v>
      </c>
      <c r="B31" s="15">
        <v>0.2</v>
      </c>
      <c r="C31" s="16">
        <v>0.3</v>
      </c>
    </row>
    <row r="32" spans="1:3" ht="15.75" thickBot="1" x14ac:dyDescent="0.3">
      <c r="A32" s="14" t="s">
        <v>67</v>
      </c>
      <c r="B32" s="15">
        <v>0.2</v>
      </c>
      <c r="C32" s="16">
        <v>0.3</v>
      </c>
    </row>
    <row r="33" spans="1:3" ht="15.75" thickBot="1" x14ac:dyDescent="0.3">
      <c r="A33" s="14" t="s">
        <v>68</v>
      </c>
      <c r="B33" s="15">
        <v>0.2</v>
      </c>
      <c r="C33" s="16">
        <v>0.3</v>
      </c>
    </row>
    <row r="34" spans="1:3" ht="15.75" thickBot="1" x14ac:dyDescent="0.3">
      <c r="A34" s="14" t="s">
        <v>69</v>
      </c>
      <c r="B34" s="15">
        <v>0.2</v>
      </c>
      <c r="C34" s="16">
        <v>0.3</v>
      </c>
    </row>
    <row r="35" spans="1:3" ht="15.75" thickBot="1" x14ac:dyDescent="0.3">
      <c r="A35" s="14" t="s">
        <v>70</v>
      </c>
      <c r="B35" s="15">
        <v>0.2</v>
      </c>
      <c r="C35" s="16">
        <v>0.3</v>
      </c>
    </row>
    <row r="36" spans="1:3" ht="15.75" thickBot="1" x14ac:dyDescent="0.3">
      <c r="A36" s="14" t="s">
        <v>71</v>
      </c>
      <c r="B36" s="15">
        <v>0.2</v>
      </c>
      <c r="C36" s="16">
        <v>0.3</v>
      </c>
    </row>
    <row r="37" spans="1:3" ht="15.75" thickBot="1" x14ac:dyDescent="0.3">
      <c r="A37" s="14" t="s">
        <v>72</v>
      </c>
      <c r="B37" s="15">
        <v>0.2</v>
      </c>
      <c r="C37" s="16">
        <v>0.3</v>
      </c>
    </row>
    <row r="38" spans="1:3" ht="15.75" thickBot="1" x14ac:dyDescent="0.3">
      <c r="A38" s="14" t="s">
        <v>73</v>
      </c>
      <c r="B38" s="15">
        <v>0.2</v>
      </c>
      <c r="C38" s="16">
        <v>0.3</v>
      </c>
    </row>
    <row r="39" spans="1:3" ht="15.75" thickBot="1" x14ac:dyDescent="0.3">
      <c r="A39" s="14" t="s">
        <v>74</v>
      </c>
      <c r="B39" s="15">
        <v>0.2</v>
      </c>
      <c r="C39" s="16">
        <v>0.3</v>
      </c>
    </row>
    <row r="40" spans="1:3" ht="15.75" thickBot="1" x14ac:dyDescent="0.3">
      <c r="A40" s="14" t="s">
        <v>75</v>
      </c>
      <c r="B40" s="15">
        <v>0.2</v>
      </c>
      <c r="C40" s="16">
        <v>0.3</v>
      </c>
    </row>
    <row r="41" spans="1:3" ht="15.75" thickBot="1" x14ac:dyDescent="0.3">
      <c r="A41" s="14" t="s">
        <v>76</v>
      </c>
      <c r="B41" s="15">
        <v>0.2</v>
      </c>
      <c r="C41" s="16">
        <v>0.3</v>
      </c>
    </row>
    <row r="42" spans="1:3" ht="15.75" thickBot="1" x14ac:dyDescent="0.3">
      <c r="A42" s="14" t="s">
        <v>77</v>
      </c>
      <c r="B42" s="15">
        <v>0.2</v>
      </c>
      <c r="C42" s="16">
        <v>0.3</v>
      </c>
    </row>
    <row r="43" spans="1:3" ht="15.75" thickBot="1" x14ac:dyDescent="0.3">
      <c r="A43" s="14" t="s">
        <v>78</v>
      </c>
      <c r="B43" s="15">
        <v>0.2</v>
      </c>
      <c r="C43" s="16">
        <v>0.3</v>
      </c>
    </row>
    <row r="44" spans="1:3" ht="15.75" thickBot="1" x14ac:dyDescent="0.3">
      <c r="A44" s="14" t="s">
        <v>79</v>
      </c>
      <c r="B44" s="15">
        <v>0.2</v>
      </c>
      <c r="C44" s="16">
        <v>0.3</v>
      </c>
    </row>
    <row r="45" spans="1:3" ht="15.75" thickBot="1" x14ac:dyDescent="0.3">
      <c r="A45" s="14" t="s">
        <v>80</v>
      </c>
      <c r="B45" s="15">
        <v>0.2</v>
      </c>
      <c r="C45" s="16">
        <v>0.3</v>
      </c>
    </row>
    <row r="46" spans="1:3" ht="15.75" thickBot="1" x14ac:dyDescent="0.3">
      <c r="A46" s="14" t="s">
        <v>81</v>
      </c>
      <c r="B46" s="15">
        <v>0.2</v>
      </c>
      <c r="C46" s="16">
        <v>0.3</v>
      </c>
    </row>
    <row r="47" spans="1:3" ht="15.75" thickBot="1" x14ac:dyDescent="0.3">
      <c r="A47" s="14" t="s">
        <v>82</v>
      </c>
      <c r="B47" s="15">
        <v>0.2</v>
      </c>
      <c r="C47" s="16">
        <v>0.3</v>
      </c>
    </row>
    <row r="48" spans="1:3" ht="15.75" thickBot="1" x14ac:dyDescent="0.3">
      <c r="A48" s="14" t="s">
        <v>83</v>
      </c>
      <c r="B48" s="15">
        <v>0.21</v>
      </c>
      <c r="C48" s="16">
        <v>0.31</v>
      </c>
    </row>
    <row r="49" spans="1:3" ht="15.75" thickBot="1" x14ac:dyDescent="0.3">
      <c r="A49" s="14" t="s">
        <v>84</v>
      </c>
      <c r="B49" s="15">
        <v>0.2</v>
      </c>
      <c r="C49" s="16">
        <v>0.3</v>
      </c>
    </row>
    <row r="50" spans="1:3" ht="15.75" thickBot="1" x14ac:dyDescent="0.3">
      <c r="A50" s="14" t="s">
        <v>85</v>
      </c>
      <c r="B50" s="15">
        <v>0.2</v>
      </c>
      <c r="C50" s="16">
        <v>0.3</v>
      </c>
    </row>
    <row r="51" spans="1:3" ht="15.75" thickBot="1" x14ac:dyDescent="0.3">
      <c r="A51" s="14" t="s">
        <v>86</v>
      </c>
      <c r="B51" s="15">
        <v>0.2</v>
      </c>
      <c r="C51" s="16">
        <v>0.3</v>
      </c>
    </row>
    <row r="52" spans="1:3" ht="15.75" thickBot="1" x14ac:dyDescent="0.3">
      <c r="A52" s="14" t="s">
        <v>87</v>
      </c>
      <c r="B52" s="15">
        <v>0.2</v>
      </c>
      <c r="C52" s="16">
        <v>0.3</v>
      </c>
    </row>
    <row r="53" spans="1:3" ht="15.75" thickBot="1" x14ac:dyDescent="0.3">
      <c r="A53" s="14" t="s">
        <v>88</v>
      </c>
      <c r="B53" s="15">
        <v>0.2</v>
      </c>
      <c r="C53" s="16">
        <v>0.3</v>
      </c>
    </row>
    <row r="54" spans="1:3" ht="15.75" thickBot="1" x14ac:dyDescent="0.3">
      <c r="A54" s="14" t="s">
        <v>89</v>
      </c>
      <c r="B54" s="15">
        <v>0.2</v>
      </c>
      <c r="C54" s="16">
        <v>0.3</v>
      </c>
    </row>
    <row r="55" spans="1:3" ht="15.75" thickBot="1" x14ac:dyDescent="0.3">
      <c r="A55" s="14" t="s">
        <v>90</v>
      </c>
      <c r="B55" s="15">
        <v>0.2</v>
      </c>
      <c r="C55" s="16">
        <v>0.3</v>
      </c>
    </row>
    <row r="56" spans="1:3" ht="15.75" thickBot="1" x14ac:dyDescent="0.3">
      <c r="A56" s="14" t="s">
        <v>91</v>
      </c>
      <c r="B56" s="15">
        <v>0.2</v>
      </c>
      <c r="C56" s="16">
        <v>0.3</v>
      </c>
    </row>
    <row r="57" spans="1:3" ht="15.75" thickBot="1" x14ac:dyDescent="0.3">
      <c r="A57" s="14" t="s">
        <v>92</v>
      </c>
      <c r="B57" s="15">
        <v>0.2</v>
      </c>
      <c r="C57" s="16">
        <v>0.3</v>
      </c>
    </row>
    <row r="58" spans="1:3" ht="15.75" thickBot="1" x14ac:dyDescent="0.3">
      <c r="A58" s="14" t="s">
        <v>93</v>
      </c>
      <c r="B58" s="15">
        <v>0.2</v>
      </c>
      <c r="C58" s="16">
        <v>0.3</v>
      </c>
    </row>
    <row r="59" spans="1:3" ht="15.75" thickBot="1" x14ac:dyDescent="0.3">
      <c r="A59" s="14" t="s">
        <v>94</v>
      </c>
      <c r="B59" s="15">
        <v>0.19</v>
      </c>
      <c r="C59" s="16">
        <v>0.3</v>
      </c>
    </row>
    <row r="60" spans="1:3" ht="15.75" thickBot="1" x14ac:dyDescent="0.3">
      <c r="A60" s="14" t="s">
        <v>95</v>
      </c>
      <c r="B60" s="15">
        <v>0.2</v>
      </c>
      <c r="C60" s="16">
        <v>0.3</v>
      </c>
    </row>
    <row r="61" spans="1:3" ht="15.75" thickBot="1" x14ac:dyDescent="0.3">
      <c r="A61" s="14" t="s">
        <v>96</v>
      </c>
      <c r="B61" s="15">
        <v>0.2</v>
      </c>
      <c r="C61" s="16">
        <v>0.25</v>
      </c>
    </row>
    <row r="62" spans="1:3" ht="15.75" thickBot="1" x14ac:dyDescent="0.3">
      <c r="A62" s="14" t="s">
        <v>97</v>
      </c>
      <c r="B62" s="15">
        <v>0.2</v>
      </c>
      <c r="C62" s="16">
        <v>0.3</v>
      </c>
    </row>
    <row r="63" spans="1:3" ht="15.75" thickBot="1" x14ac:dyDescent="0.3">
      <c r="A63" s="14" t="s">
        <v>98</v>
      </c>
      <c r="B63" s="15">
        <v>0.2</v>
      </c>
      <c r="C63" s="16">
        <v>0.3</v>
      </c>
    </row>
    <row r="64" spans="1:3" ht="15.75" thickBot="1" x14ac:dyDescent="0.3">
      <c r="A64" s="14" t="s">
        <v>99</v>
      </c>
      <c r="B64" s="15">
        <v>0.2</v>
      </c>
      <c r="C64" s="16">
        <v>0.3</v>
      </c>
    </row>
    <row r="65" spans="1:3" ht="15.75" thickBot="1" x14ac:dyDescent="0.3">
      <c r="A65" s="14" t="s">
        <v>100</v>
      </c>
      <c r="B65" s="15">
        <v>0.2</v>
      </c>
      <c r="C65" s="16">
        <v>0.3</v>
      </c>
    </row>
    <row r="66" spans="1:3" ht="15.75" thickBot="1" x14ac:dyDescent="0.3">
      <c r="A66" s="14" t="s">
        <v>101</v>
      </c>
      <c r="B66" s="15">
        <v>0.2</v>
      </c>
      <c r="C66" s="16">
        <v>0.25</v>
      </c>
    </row>
    <row r="67" spans="1:3" ht="15.75" thickBot="1" x14ac:dyDescent="0.3">
      <c r="A67" s="14" t="s">
        <v>102</v>
      </c>
      <c r="B67" s="15">
        <v>0.2</v>
      </c>
      <c r="C67" s="16">
        <v>0.3</v>
      </c>
    </row>
    <row r="68" spans="1:3" ht="15.75" thickBot="1" x14ac:dyDescent="0.3">
      <c r="A68" s="14" t="s">
        <v>103</v>
      </c>
      <c r="B68" s="15">
        <v>0.2</v>
      </c>
      <c r="C68" s="16">
        <v>0.3</v>
      </c>
    </row>
    <row r="69" spans="1:3" ht="15.75" thickBot="1" x14ac:dyDescent="0.3">
      <c r="A69" s="14" t="s">
        <v>104</v>
      </c>
      <c r="B69" s="15">
        <v>0.2</v>
      </c>
      <c r="C69" s="16">
        <v>0.3</v>
      </c>
    </row>
    <row r="70" spans="1:3" ht="15.75" thickBot="1" x14ac:dyDescent="0.3">
      <c r="A70" s="14" t="s">
        <v>105</v>
      </c>
      <c r="B70" s="15">
        <v>0.2</v>
      </c>
      <c r="C70" s="16">
        <v>0.3</v>
      </c>
    </row>
    <row r="71" spans="1:3" ht="15.75" thickBot="1" x14ac:dyDescent="0.3">
      <c r="A71" s="14" t="s">
        <v>106</v>
      </c>
      <c r="B71" s="15">
        <v>0.2</v>
      </c>
      <c r="C71" s="16">
        <v>0.3</v>
      </c>
    </row>
    <row r="72" spans="1:3" ht="15.75" thickBot="1" x14ac:dyDescent="0.3">
      <c r="A72" s="14" t="s">
        <v>107</v>
      </c>
      <c r="B72" s="15">
        <v>0.2</v>
      </c>
      <c r="C72" s="16">
        <v>0.3</v>
      </c>
    </row>
    <row r="73" spans="1:3" ht="15.75" thickBot="1" x14ac:dyDescent="0.3">
      <c r="A73" s="14" t="s">
        <v>108</v>
      </c>
      <c r="B73" s="15">
        <v>0.2</v>
      </c>
      <c r="C73" s="16">
        <v>0.3</v>
      </c>
    </row>
    <row r="74" spans="1:3" ht="15.75" thickBot="1" x14ac:dyDescent="0.3">
      <c r="A74" s="14" t="s">
        <v>109</v>
      </c>
      <c r="B74" s="15">
        <v>0.2</v>
      </c>
      <c r="C74" s="16">
        <v>0.3</v>
      </c>
    </row>
    <row r="75" spans="1:3" ht="15.75" thickBot="1" x14ac:dyDescent="0.3">
      <c r="A75" s="14" t="s">
        <v>110</v>
      </c>
      <c r="B75" s="15">
        <v>0.2</v>
      </c>
      <c r="C75" s="16">
        <v>0.3</v>
      </c>
    </row>
    <row r="76" spans="1:3" ht="15.75" thickBot="1" x14ac:dyDescent="0.3">
      <c r="A76" s="14" t="s">
        <v>111</v>
      </c>
      <c r="B76" s="15">
        <v>0.2</v>
      </c>
      <c r="C76" s="16">
        <v>0.3</v>
      </c>
    </row>
    <row r="77" spans="1:3" ht="15.75" thickBot="1" x14ac:dyDescent="0.3">
      <c r="A77" s="14" t="s">
        <v>112</v>
      </c>
      <c r="B77" s="15">
        <v>0.2</v>
      </c>
      <c r="C77" s="16">
        <v>0.3</v>
      </c>
    </row>
    <row r="78" spans="1:3" ht="15.75" thickBot="1" x14ac:dyDescent="0.3">
      <c r="A78" s="14" t="s">
        <v>113</v>
      </c>
      <c r="B78" s="15">
        <v>0.2</v>
      </c>
      <c r="C78" s="16">
        <v>0.3</v>
      </c>
    </row>
    <row r="79" spans="1:3" ht="15.75" thickBot="1" x14ac:dyDescent="0.3">
      <c r="A79" s="14" t="s">
        <v>114</v>
      </c>
      <c r="B79" s="15">
        <v>0.2</v>
      </c>
      <c r="C79" s="16">
        <v>0.3</v>
      </c>
    </row>
    <row r="80" spans="1:3" ht="15.75" thickBot="1" x14ac:dyDescent="0.3">
      <c r="A80" s="14" t="s">
        <v>115</v>
      </c>
      <c r="B80" s="15">
        <v>0.21</v>
      </c>
      <c r="C80" s="16">
        <v>0.31</v>
      </c>
    </row>
    <row r="81" spans="1:3" ht="15.75" thickBot="1" x14ac:dyDescent="0.3">
      <c r="A81" s="14" t="s">
        <v>116</v>
      </c>
      <c r="B81" s="15">
        <v>0.2</v>
      </c>
      <c r="C81" s="16">
        <v>0.3</v>
      </c>
    </row>
    <row r="82" spans="1:3" ht="15.75" thickBot="1" x14ac:dyDescent="0.3">
      <c r="A82" s="14" t="s">
        <v>117</v>
      </c>
      <c r="B82" s="15">
        <v>0.2</v>
      </c>
      <c r="C82" s="16">
        <v>0.3</v>
      </c>
    </row>
    <row r="83" spans="1:3" ht="15.75" thickBot="1" x14ac:dyDescent="0.3">
      <c r="A83" s="14" t="s">
        <v>118</v>
      </c>
      <c r="B83" s="15">
        <v>0.2</v>
      </c>
      <c r="C83" s="16">
        <v>0.3</v>
      </c>
    </row>
    <row r="84" spans="1:3" ht="15.75" thickBot="1" x14ac:dyDescent="0.3">
      <c r="A84" s="14" t="s">
        <v>119</v>
      </c>
      <c r="B84" s="15">
        <v>0.2</v>
      </c>
      <c r="C84" s="16">
        <v>0.3</v>
      </c>
    </row>
    <row r="85" spans="1:3" ht="15.75" thickBot="1" x14ac:dyDescent="0.3">
      <c r="A85" s="14" t="s">
        <v>120</v>
      </c>
      <c r="B85" s="15">
        <v>0.2</v>
      </c>
      <c r="C85" s="16">
        <v>0.3</v>
      </c>
    </row>
    <row r="86" spans="1:3" ht="15.75" thickBot="1" x14ac:dyDescent="0.3">
      <c r="A86" s="14" t="s">
        <v>121</v>
      </c>
      <c r="B86" s="15">
        <v>0.2</v>
      </c>
      <c r="C86" s="16">
        <v>0.3</v>
      </c>
    </row>
    <row r="87" spans="1:3" ht="15.75" thickBot="1" x14ac:dyDescent="0.3">
      <c r="A87" s="14" t="s">
        <v>122</v>
      </c>
      <c r="B87" s="15">
        <v>0.2</v>
      </c>
      <c r="C87" s="16">
        <v>0.3</v>
      </c>
    </row>
    <row r="88" spans="1:3" ht="15.75" thickBot="1" x14ac:dyDescent="0.3">
      <c r="A88" s="14" t="s">
        <v>123</v>
      </c>
      <c r="B88" s="15">
        <v>0.2</v>
      </c>
      <c r="C88" s="16">
        <v>0.3</v>
      </c>
    </row>
    <row r="89" spans="1:3" ht="15.75" thickBot="1" x14ac:dyDescent="0.3">
      <c r="A89" s="14" t="s">
        <v>124</v>
      </c>
      <c r="B89" s="15">
        <v>0.2</v>
      </c>
      <c r="C89" s="16">
        <v>0.3</v>
      </c>
    </row>
    <row r="90" spans="1:3" ht="15.75" thickBot="1" x14ac:dyDescent="0.3">
      <c r="A90" s="14" t="s">
        <v>125</v>
      </c>
      <c r="B90" s="15">
        <v>0.2</v>
      </c>
      <c r="C90" s="16">
        <v>0.3</v>
      </c>
    </row>
    <row r="91" spans="1:3" ht="15.75" thickBot="1" x14ac:dyDescent="0.3">
      <c r="A91" s="14" t="s">
        <v>126</v>
      </c>
      <c r="B91" s="15">
        <v>0.2</v>
      </c>
      <c r="C91" s="16">
        <v>0.3</v>
      </c>
    </row>
    <row r="92" spans="1:3" ht="15.75" thickBot="1" x14ac:dyDescent="0.3">
      <c r="A92" s="14" t="s">
        <v>127</v>
      </c>
      <c r="B92" s="15">
        <v>0.2</v>
      </c>
      <c r="C92" s="16">
        <v>0.3</v>
      </c>
    </row>
    <row r="93" spans="1:3" ht="15.75" thickBot="1" x14ac:dyDescent="0.3">
      <c r="A93" s="14" t="s">
        <v>128</v>
      </c>
      <c r="B93" s="15">
        <v>0.2</v>
      </c>
      <c r="C93" s="16">
        <v>0.25</v>
      </c>
    </row>
    <row r="94" spans="1:3" ht="15.75" thickBot="1" x14ac:dyDescent="0.3">
      <c r="A94" s="14" t="s">
        <v>129</v>
      </c>
      <c r="B94" s="15">
        <v>0.2</v>
      </c>
      <c r="C94" s="16">
        <v>0.3</v>
      </c>
    </row>
    <row r="95" spans="1:3" ht="15.75" thickBot="1" x14ac:dyDescent="0.3">
      <c r="A95" s="14" t="s">
        <v>130</v>
      </c>
      <c r="B95" s="15">
        <v>0.2</v>
      </c>
      <c r="C95" s="16">
        <v>0.3</v>
      </c>
    </row>
    <row r="96" spans="1:3" ht="15.75" thickBot="1" x14ac:dyDescent="0.3">
      <c r="A96" s="14" t="s">
        <v>131</v>
      </c>
      <c r="B96" s="15">
        <v>0.2</v>
      </c>
      <c r="C96" s="16">
        <v>0.3</v>
      </c>
    </row>
    <row r="97" spans="1:3" ht="15.75" thickBot="1" x14ac:dyDescent="0.3">
      <c r="A97" s="14" t="s">
        <v>132</v>
      </c>
      <c r="B97" s="15">
        <v>0.2</v>
      </c>
      <c r="C97" s="16">
        <v>0.3</v>
      </c>
    </row>
    <row r="98" spans="1:3" ht="15.75" thickBot="1" x14ac:dyDescent="0.3">
      <c r="A98" s="14" t="s">
        <v>133</v>
      </c>
      <c r="B98" s="15">
        <v>0.2</v>
      </c>
      <c r="C98" s="16">
        <v>0.3</v>
      </c>
    </row>
    <row r="99" spans="1:3" ht="15.75" thickBot="1" x14ac:dyDescent="0.3">
      <c r="A99" s="14" t="s">
        <v>134</v>
      </c>
      <c r="B99" s="15">
        <v>0.21</v>
      </c>
      <c r="C99" s="16">
        <v>0.31</v>
      </c>
    </row>
    <row r="100" spans="1:3" ht="15.75" thickBot="1" x14ac:dyDescent="0.3">
      <c r="A100" s="14" t="s">
        <v>135</v>
      </c>
      <c r="B100" s="15">
        <v>0.2</v>
      </c>
      <c r="C100" s="16">
        <v>0.3</v>
      </c>
    </row>
    <row r="101" spans="1:3" ht="15.75" thickBot="1" x14ac:dyDescent="0.3">
      <c r="A101" s="14" t="s">
        <v>136</v>
      </c>
      <c r="B101" s="15">
        <v>0.2</v>
      </c>
      <c r="C101" s="16">
        <v>0.3</v>
      </c>
    </row>
    <row r="102" spans="1:3" ht="15.75" thickBot="1" x14ac:dyDescent="0.3">
      <c r="A102" s="14" t="s">
        <v>137</v>
      </c>
      <c r="B102" s="15">
        <v>0.2</v>
      </c>
      <c r="C102" s="16">
        <v>0.3</v>
      </c>
    </row>
    <row r="103" spans="1:3" ht="15.75" thickBot="1" x14ac:dyDescent="0.3">
      <c r="A103" s="14" t="s">
        <v>138</v>
      </c>
      <c r="B103" s="15">
        <v>0.2</v>
      </c>
      <c r="C103" s="16">
        <v>0.3</v>
      </c>
    </row>
    <row r="104" spans="1:3" ht="15.75" thickBot="1" x14ac:dyDescent="0.3">
      <c r="A104" s="14" t="s">
        <v>139</v>
      </c>
      <c r="B104" s="15">
        <v>0.2</v>
      </c>
      <c r="C104" s="16">
        <v>0.3</v>
      </c>
    </row>
    <row r="105" spans="1:3" ht="15.75" thickBot="1" x14ac:dyDescent="0.3">
      <c r="A105" s="14" t="s">
        <v>140</v>
      </c>
      <c r="B105" s="15">
        <v>0.2</v>
      </c>
      <c r="C105" s="16">
        <v>0.3</v>
      </c>
    </row>
    <row r="106" spans="1:3" ht="15.75" thickBot="1" x14ac:dyDescent="0.3">
      <c r="A106" s="14" t="s">
        <v>141</v>
      </c>
      <c r="B106" s="15">
        <v>0.2</v>
      </c>
      <c r="C106" s="16">
        <v>0.3</v>
      </c>
    </row>
    <row r="107" spans="1:3" ht="15.75" thickBot="1" x14ac:dyDescent="0.3">
      <c r="A107" s="14" t="s">
        <v>142</v>
      </c>
      <c r="B107" s="15">
        <v>0.2</v>
      </c>
      <c r="C107" s="16">
        <v>0.3</v>
      </c>
    </row>
    <row r="108" spans="1:3" ht="15.75" thickBot="1" x14ac:dyDescent="0.3">
      <c r="A108" s="14" t="s">
        <v>143</v>
      </c>
      <c r="B108" s="15">
        <v>0.2</v>
      </c>
      <c r="C108" s="16">
        <v>0.3</v>
      </c>
    </row>
    <row r="109" spans="1:3" ht="15.75" thickBot="1" x14ac:dyDescent="0.3">
      <c r="A109" s="14" t="s">
        <v>144</v>
      </c>
      <c r="B109" s="15">
        <v>0.2</v>
      </c>
      <c r="C109" s="16">
        <v>0.3</v>
      </c>
    </row>
    <row r="110" spans="1:3" ht="15.75" thickBot="1" x14ac:dyDescent="0.3">
      <c r="A110" s="14" t="s">
        <v>145</v>
      </c>
      <c r="B110" s="15">
        <v>0.2</v>
      </c>
      <c r="C110" s="16">
        <v>0.3</v>
      </c>
    </row>
    <row r="111" spans="1:3" ht="15.75" thickBot="1" x14ac:dyDescent="0.3">
      <c r="A111" s="14" t="s">
        <v>146</v>
      </c>
      <c r="B111" s="15">
        <v>0.2</v>
      </c>
      <c r="C111" s="16">
        <v>0.3</v>
      </c>
    </row>
    <row r="112" spans="1:3" ht="15.75" thickBot="1" x14ac:dyDescent="0.3">
      <c r="A112" s="14" t="s">
        <v>147</v>
      </c>
      <c r="B112" s="15">
        <v>0.2</v>
      </c>
      <c r="C112" s="16">
        <v>0.3</v>
      </c>
    </row>
    <row r="113" spans="1:3" ht="15.75" thickBot="1" x14ac:dyDescent="0.3">
      <c r="A113" s="14" t="s">
        <v>148</v>
      </c>
      <c r="B113" s="15">
        <v>0.2</v>
      </c>
      <c r="C113" s="16">
        <v>0.3</v>
      </c>
    </row>
    <row r="114" spans="1:3" ht="15.75" thickBot="1" x14ac:dyDescent="0.3">
      <c r="A114" s="14" t="s">
        <v>149</v>
      </c>
      <c r="B114" s="15">
        <v>0.2</v>
      </c>
      <c r="C114" s="16">
        <v>0.3</v>
      </c>
    </row>
    <row r="115" spans="1:3" ht="15.75" thickBot="1" x14ac:dyDescent="0.3">
      <c r="A115" s="14" t="s">
        <v>150</v>
      </c>
      <c r="B115" s="15">
        <v>0.2</v>
      </c>
      <c r="C115" s="16">
        <v>0.3</v>
      </c>
    </row>
    <row r="116" spans="1:3" ht="15.75" thickBot="1" x14ac:dyDescent="0.3">
      <c r="A116" s="14" t="s">
        <v>151</v>
      </c>
      <c r="B116" s="15">
        <v>0.2</v>
      </c>
      <c r="C116" s="16">
        <v>0.3</v>
      </c>
    </row>
    <row r="117" spans="1:3" ht="15.75" thickBot="1" x14ac:dyDescent="0.3">
      <c r="A117" s="14" t="s">
        <v>152</v>
      </c>
      <c r="B117" s="15">
        <v>0.2</v>
      </c>
      <c r="C117" s="16">
        <v>0.3</v>
      </c>
    </row>
    <row r="118" spans="1:3" ht="15.75" thickBot="1" x14ac:dyDescent="0.3">
      <c r="A118" s="14" t="s">
        <v>153</v>
      </c>
      <c r="B118" s="15">
        <v>0.2</v>
      </c>
      <c r="C118" s="16">
        <v>0.3</v>
      </c>
    </row>
    <row r="119" spans="1:3" ht="15.75" thickBot="1" x14ac:dyDescent="0.3">
      <c r="A119" s="14" t="s">
        <v>154</v>
      </c>
      <c r="B119" s="15">
        <v>0.2</v>
      </c>
      <c r="C119" s="16">
        <v>0.3</v>
      </c>
    </row>
    <row r="120" spans="1:3" ht="15.75" thickBot="1" x14ac:dyDescent="0.3">
      <c r="A120" s="14" t="s">
        <v>155</v>
      </c>
      <c r="B120" s="15">
        <v>0.2</v>
      </c>
      <c r="C120" s="16">
        <v>0.3</v>
      </c>
    </row>
    <row r="121" spans="1:3" ht="15.75" thickBot="1" x14ac:dyDescent="0.3">
      <c r="A121" s="14" t="s">
        <v>156</v>
      </c>
      <c r="B121" s="15">
        <v>0.2</v>
      </c>
      <c r="C121" s="16">
        <v>0.3</v>
      </c>
    </row>
    <row r="122" spans="1:3" ht="15.75" thickBot="1" x14ac:dyDescent="0.3">
      <c r="A122" s="14" t="s">
        <v>157</v>
      </c>
      <c r="B122" s="15">
        <v>0.2</v>
      </c>
      <c r="C122" s="16">
        <v>0.3</v>
      </c>
    </row>
    <row r="123" spans="1:3" ht="15.75" thickBot="1" x14ac:dyDescent="0.3">
      <c r="A123" s="14" t="s">
        <v>158</v>
      </c>
      <c r="B123" s="15">
        <v>0.2</v>
      </c>
      <c r="C123" s="16">
        <v>0.3</v>
      </c>
    </row>
    <row r="124" spans="1:3" ht="15.75" thickBot="1" x14ac:dyDescent="0.3">
      <c r="A124" s="14" t="s">
        <v>159</v>
      </c>
      <c r="B124" s="15">
        <v>0.2</v>
      </c>
      <c r="C124" s="16">
        <v>0.3</v>
      </c>
    </row>
    <row r="125" spans="1:3" ht="15.75" thickBot="1" x14ac:dyDescent="0.3">
      <c r="A125" s="14" t="s">
        <v>160</v>
      </c>
      <c r="B125" s="15">
        <v>0.2</v>
      </c>
      <c r="C125" s="16">
        <v>0.3</v>
      </c>
    </row>
    <row r="126" spans="1:3" ht="15.75" thickBot="1" x14ac:dyDescent="0.3">
      <c r="A126" s="14" t="s">
        <v>161</v>
      </c>
      <c r="B126" s="15">
        <v>0.2</v>
      </c>
      <c r="C126" s="16">
        <v>0.3</v>
      </c>
    </row>
    <row r="127" spans="1:3" ht="15.75" thickBot="1" x14ac:dyDescent="0.3">
      <c r="A127" s="14" t="s">
        <v>162</v>
      </c>
      <c r="B127" s="15">
        <v>0.2</v>
      </c>
      <c r="C127" s="16">
        <v>0.3</v>
      </c>
    </row>
    <row r="128" spans="1:3" ht="15.75" thickBot="1" x14ac:dyDescent="0.3">
      <c r="A128" s="14" t="s">
        <v>163</v>
      </c>
      <c r="B128" s="15">
        <v>0.2</v>
      </c>
      <c r="C128" s="16">
        <v>0.3</v>
      </c>
    </row>
    <row r="129" spans="1:3" ht="15.75" thickBot="1" x14ac:dyDescent="0.3">
      <c r="A129" s="14" t="s">
        <v>164</v>
      </c>
      <c r="B129" s="15">
        <v>0.2</v>
      </c>
      <c r="C129" s="16">
        <v>0.3</v>
      </c>
    </row>
    <row r="130" spans="1:3" ht="15.75" thickBot="1" x14ac:dyDescent="0.3">
      <c r="A130" s="14" t="s">
        <v>165</v>
      </c>
      <c r="B130" s="15">
        <v>0.2</v>
      </c>
      <c r="C130" s="16">
        <v>0.3</v>
      </c>
    </row>
    <row r="131" spans="1:3" ht="15.75" thickBot="1" x14ac:dyDescent="0.3">
      <c r="A131" s="14" t="s">
        <v>166</v>
      </c>
      <c r="B131" s="15">
        <v>0.2</v>
      </c>
      <c r="C131" s="16">
        <v>0.3</v>
      </c>
    </row>
    <row r="132" spans="1:3" ht="15.75" thickBot="1" x14ac:dyDescent="0.3">
      <c r="A132" s="14" t="s">
        <v>167</v>
      </c>
      <c r="B132" s="15">
        <v>0.17</v>
      </c>
      <c r="C132" s="16">
        <v>0.27</v>
      </c>
    </row>
    <row r="133" spans="1:3" ht="15.75" thickBot="1" x14ac:dyDescent="0.3">
      <c r="A133" s="14" t="s">
        <v>168</v>
      </c>
      <c r="B133" s="15">
        <v>0.22</v>
      </c>
      <c r="C133" s="16">
        <v>0.32</v>
      </c>
    </row>
    <row r="134" spans="1:3" ht="15.75" thickBot="1" x14ac:dyDescent="0.3">
      <c r="A134" s="14" t="s">
        <v>169</v>
      </c>
      <c r="B134" s="15">
        <v>0.2</v>
      </c>
      <c r="C134" s="16">
        <v>0.3</v>
      </c>
    </row>
    <row r="135" spans="1:3" ht="15.75" thickBot="1" x14ac:dyDescent="0.3">
      <c r="A135" s="14" t="s">
        <v>170</v>
      </c>
      <c r="B135" s="15">
        <v>0.2</v>
      </c>
      <c r="C135" s="16">
        <v>0.3</v>
      </c>
    </row>
    <row r="136" spans="1:3" ht="15.75" thickBot="1" x14ac:dyDescent="0.3">
      <c r="A136" s="14" t="s">
        <v>171</v>
      </c>
      <c r="B136" s="15">
        <v>0.2</v>
      </c>
      <c r="C136" s="16">
        <v>0.3</v>
      </c>
    </row>
    <row r="137" spans="1:3" ht="15.75" thickBot="1" x14ac:dyDescent="0.3">
      <c r="A137" s="14" t="s">
        <v>172</v>
      </c>
      <c r="B137" s="15">
        <v>0.2</v>
      </c>
      <c r="C137" s="16">
        <v>0.3</v>
      </c>
    </row>
    <row r="138" spans="1:3" ht="15.75" thickBot="1" x14ac:dyDescent="0.3">
      <c r="A138" s="14" t="s">
        <v>173</v>
      </c>
      <c r="B138" s="15">
        <v>0.2</v>
      </c>
      <c r="C138" s="16">
        <v>0.3</v>
      </c>
    </row>
    <row r="139" spans="1:3" ht="15.75" thickBot="1" x14ac:dyDescent="0.3">
      <c r="A139" s="14" t="s">
        <v>174</v>
      </c>
      <c r="B139" s="15">
        <v>0.2</v>
      </c>
      <c r="C139" s="16">
        <v>0.3</v>
      </c>
    </row>
    <row r="140" spans="1:3" ht="15.75" thickBot="1" x14ac:dyDescent="0.3">
      <c r="A140" s="14" t="s">
        <v>175</v>
      </c>
      <c r="B140" s="15">
        <v>0.2</v>
      </c>
      <c r="C140" s="16">
        <v>0.3</v>
      </c>
    </row>
    <row r="141" spans="1:3" ht="15.75" thickBot="1" x14ac:dyDescent="0.3">
      <c r="A141" s="14" t="s">
        <v>176</v>
      </c>
      <c r="B141" s="15">
        <v>0.2</v>
      </c>
      <c r="C141" s="16">
        <v>0.3</v>
      </c>
    </row>
    <row r="142" spans="1:3" ht="15.75" thickBot="1" x14ac:dyDescent="0.3">
      <c r="A142" s="14" t="s">
        <v>177</v>
      </c>
      <c r="B142" s="15">
        <v>0.2</v>
      </c>
      <c r="C142" s="16">
        <v>0.3</v>
      </c>
    </row>
    <row r="143" spans="1:3" ht="15.75" thickBot="1" x14ac:dyDescent="0.3">
      <c r="A143" s="14" t="s">
        <v>178</v>
      </c>
      <c r="B143" s="15">
        <v>0.2</v>
      </c>
      <c r="C143" s="16">
        <v>0.3</v>
      </c>
    </row>
    <row r="144" spans="1:3" ht="15.75" thickBot="1" x14ac:dyDescent="0.3">
      <c r="A144" s="14" t="s">
        <v>179</v>
      </c>
      <c r="B144" s="15">
        <v>0.2</v>
      </c>
      <c r="C144" s="16">
        <v>0.3</v>
      </c>
    </row>
    <row r="145" spans="1:3" ht="15.75" thickBot="1" x14ac:dyDescent="0.3">
      <c r="A145" s="14" t="s">
        <v>180</v>
      </c>
      <c r="B145" s="15">
        <v>0.2</v>
      </c>
      <c r="C145" s="16">
        <v>0.3</v>
      </c>
    </row>
    <row r="146" spans="1:3" ht="15.75" thickBot="1" x14ac:dyDescent="0.3">
      <c r="A146" s="14" t="s">
        <v>181</v>
      </c>
      <c r="B146" s="15">
        <v>0.2</v>
      </c>
      <c r="C146" s="16">
        <v>0.3</v>
      </c>
    </row>
    <row r="147" spans="1:3" ht="15.75" thickBot="1" x14ac:dyDescent="0.3">
      <c r="A147" s="14" t="s">
        <v>182</v>
      </c>
      <c r="B147" s="15">
        <v>0.2</v>
      </c>
      <c r="C147" s="16">
        <v>0.3</v>
      </c>
    </row>
    <row r="148" spans="1:3" ht="15.75" thickBot="1" x14ac:dyDescent="0.3">
      <c r="A148" s="14" t="s">
        <v>183</v>
      </c>
      <c r="B148" s="15">
        <v>0.2</v>
      </c>
      <c r="C148" s="16">
        <v>0.3</v>
      </c>
    </row>
    <row r="149" spans="1:3" ht="15.75" thickBot="1" x14ac:dyDescent="0.3">
      <c r="A149" s="14" t="s">
        <v>184</v>
      </c>
      <c r="B149" s="15">
        <v>0.2</v>
      </c>
      <c r="C149" s="16">
        <v>0.3</v>
      </c>
    </row>
    <row r="150" spans="1:3" ht="15.75" thickBot="1" x14ac:dyDescent="0.3">
      <c r="A150" s="14" t="s">
        <v>185</v>
      </c>
      <c r="B150" s="15">
        <v>0.2</v>
      </c>
      <c r="C150" s="16">
        <v>0.3</v>
      </c>
    </row>
    <row r="151" spans="1:3" ht="15.75" thickBot="1" x14ac:dyDescent="0.3">
      <c r="A151" s="14" t="s">
        <v>186</v>
      </c>
      <c r="B151" s="15">
        <v>0.2</v>
      </c>
      <c r="C151" s="16">
        <v>0.3</v>
      </c>
    </row>
    <row r="152" spans="1:3" ht="15.75" thickBot="1" x14ac:dyDescent="0.3">
      <c r="A152" s="14" t="s">
        <v>187</v>
      </c>
      <c r="B152" s="15">
        <v>0.2</v>
      </c>
      <c r="C152" s="16">
        <v>0.3</v>
      </c>
    </row>
    <row r="153" spans="1:3" ht="15.75" thickBot="1" x14ac:dyDescent="0.3">
      <c r="A153" s="14" t="s">
        <v>188</v>
      </c>
      <c r="B153" s="15">
        <v>0.2</v>
      </c>
      <c r="C153" s="16">
        <v>0.3</v>
      </c>
    </row>
    <row r="154" spans="1:3" ht="15.75" thickBot="1" x14ac:dyDescent="0.3">
      <c r="A154" s="14" t="s">
        <v>189</v>
      </c>
      <c r="B154" s="15">
        <v>0.2</v>
      </c>
      <c r="C154" s="16">
        <v>0.25</v>
      </c>
    </row>
    <row r="155" spans="1:3" ht="15.75" thickBot="1" x14ac:dyDescent="0.3">
      <c r="A155" s="14" t="s">
        <v>190</v>
      </c>
      <c r="B155" s="15">
        <v>0.21</v>
      </c>
      <c r="C155" s="16">
        <v>0.31</v>
      </c>
    </row>
    <row r="156" spans="1:3" ht="15.75" thickBot="1" x14ac:dyDescent="0.3">
      <c r="A156" s="14" t="s">
        <v>191</v>
      </c>
      <c r="B156" s="15">
        <v>0.2</v>
      </c>
      <c r="C156" s="16">
        <v>0.3</v>
      </c>
    </row>
    <row r="157" spans="1:3" ht="15.75" thickBot="1" x14ac:dyDescent="0.3">
      <c r="A157" s="14" t="s">
        <v>192</v>
      </c>
      <c r="B157" s="15">
        <v>0.2</v>
      </c>
      <c r="C157" s="16">
        <v>0.3</v>
      </c>
    </row>
    <row r="158" spans="1:3" ht="15.75" thickBot="1" x14ac:dyDescent="0.3">
      <c r="A158" s="14" t="s">
        <v>193</v>
      </c>
      <c r="B158" s="15">
        <v>0.2</v>
      </c>
      <c r="C158" s="16">
        <v>0.3</v>
      </c>
    </row>
    <row r="159" spans="1:3" ht="15.75" thickBot="1" x14ac:dyDescent="0.3">
      <c r="A159" s="14" t="s">
        <v>194</v>
      </c>
      <c r="B159" s="15">
        <v>0.2</v>
      </c>
      <c r="C159" s="16">
        <v>0.3</v>
      </c>
    </row>
    <row r="160" spans="1:3" ht="15.75" thickBot="1" x14ac:dyDescent="0.3">
      <c r="A160" s="14" t="s">
        <v>195</v>
      </c>
      <c r="B160" s="15">
        <v>0.2</v>
      </c>
      <c r="C160" s="16">
        <v>0.3</v>
      </c>
    </row>
    <row r="161" spans="1:3" ht="15.75" thickBot="1" x14ac:dyDescent="0.3">
      <c r="A161" s="14" t="s">
        <v>196</v>
      </c>
      <c r="B161" s="15">
        <v>0.2</v>
      </c>
      <c r="C161" s="16">
        <v>0.3</v>
      </c>
    </row>
    <row r="162" spans="1:3" ht="15.75" thickBot="1" x14ac:dyDescent="0.3">
      <c r="A162" s="14" t="s">
        <v>197</v>
      </c>
      <c r="B162" s="15">
        <v>0.2</v>
      </c>
      <c r="C162" s="16">
        <v>0.3</v>
      </c>
    </row>
    <row r="163" spans="1:3" ht="15.75" thickBot="1" x14ac:dyDescent="0.3">
      <c r="A163" s="14" t="s">
        <v>198</v>
      </c>
      <c r="B163" s="15">
        <v>0.2</v>
      </c>
      <c r="C163" s="16">
        <v>0.3</v>
      </c>
    </row>
    <row r="164" spans="1:3" ht="15.75" thickBot="1" x14ac:dyDescent="0.3">
      <c r="A164" s="14" t="s">
        <v>199</v>
      </c>
      <c r="B164" s="15">
        <v>0.2</v>
      </c>
      <c r="C164" s="16">
        <v>0.3</v>
      </c>
    </row>
    <row r="165" spans="1:3" ht="15.75" thickBot="1" x14ac:dyDescent="0.3">
      <c r="A165" s="14" t="s">
        <v>200</v>
      </c>
      <c r="B165" s="15">
        <v>0.2</v>
      </c>
      <c r="C165" s="16">
        <v>0.3</v>
      </c>
    </row>
    <row r="166" spans="1:3" ht="15.75" thickBot="1" x14ac:dyDescent="0.3">
      <c r="A166" s="14" t="s">
        <v>201</v>
      </c>
      <c r="B166" s="15">
        <v>0.2</v>
      </c>
      <c r="C166" s="16">
        <v>0.3</v>
      </c>
    </row>
    <row r="167" spans="1:3" ht="15.75" thickBot="1" x14ac:dyDescent="0.3">
      <c r="A167" s="14" t="s">
        <v>202</v>
      </c>
      <c r="B167" s="15">
        <v>0.2</v>
      </c>
      <c r="C167" s="16">
        <v>0.3</v>
      </c>
    </row>
    <row r="168" spans="1:3" ht="15.75" thickBot="1" x14ac:dyDescent="0.3">
      <c r="A168" s="14" t="s">
        <v>203</v>
      </c>
      <c r="B168" s="15">
        <v>0.2</v>
      </c>
      <c r="C168" s="16">
        <v>0.3</v>
      </c>
    </row>
    <row r="169" spans="1:3" ht="15.75" thickBot="1" x14ac:dyDescent="0.3">
      <c r="A169" s="14" t="s">
        <v>204</v>
      </c>
      <c r="B169" s="15">
        <v>0.2</v>
      </c>
      <c r="C169" s="16">
        <v>0.3</v>
      </c>
    </row>
    <row r="170" spans="1:3" ht="15.75" thickBot="1" x14ac:dyDescent="0.3">
      <c r="A170" s="14" t="s">
        <v>205</v>
      </c>
      <c r="B170" s="15">
        <v>0.2</v>
      </c>
      <c r="C170" s="16">
        <v>0.3</v>
      </c>
    </row>
    <row r="171" spans="1:3" ht="15.75" thickBot="1" x14ac:dyDescent="0.3">
      <c r="A171" s="14" t="s">
        <v>206</v>
      </c>
      <c r="B171" s="15">
        <v>0.2</v>
      </c>
      <c r="C171" s="16">
        <v>0.3</v>
      </c>
    </row>
    <row r="172" spans="1:3" ht="15.75" thickBot="1" x14ac:dyDescent="0.3">
      <c r="A172" s="14" t="s">
        <v>207</v>
      </c>
      <c r="B172" s="15">
        <v>0.2</v>
      </c>
      <c r="C172" s="16">
        <v>0.3</v>
      </c>
    </row>
    <row r="173" spans="1:3" ht="15.75" thickBot="1" x14ac:dyDescent="0.3">
      <c r="A173" s="14" t="s">
        <v>208</v>
      </c>
      <c r="B173" s="15">
        <v>0.2</v>
      </c>
      <c r="C173" s="16">
        <v>0.3</v>
      </c>
    </row>
    <row r="174" spans="1:3" ht="15.75" thickBot="1" x14ac:dyDescent="0.3">
      <c r="A174" s="14" t="s">
        <v>209</v>
      </c>
      <c r="B174" s="15">
        <v>0.2</v>
      </c>
      <c r="C174" s="16">
        <v>0.3</v>
      </c>
    </row>
    <row r="175" spans="1:3" ht="15.75" thickBot="1" x14ac:dyDescent="0.3">
      <c r="A175" s="14" t="s">
        <v>210</v>
      </c>
      <c r="B175" s="15">
        <v>0.2</v>
      </c>
      <c r="C175" s="16">
        <v>0.3</v>
      </c>
    </row>
    <row r="176" spans="1:3" ht="15.75" thickBot="1" x14ac:dyDescent="0.3">
      <c r="A176" s="14" t="s">
        <v>211</v>
      </c>
      <c r="B176" s="15">
        <v>0.2</v>
      </c>
      <c r="C176" s="16">
        <v>0.3</v>
      </c>
    </row>
    <row r="177" spans="1:3" ht="15.75" thickBot="1" x14ac:dyDescent="0.3">
      <c r="A177" s="14" t="s">
        <v>212</v>
      </c>
      <c r="B177" s="15">
        <v>0.15</v>
      </c>
      <c r="C177" s="16">
        <v>0.25</v>
      </c>
    </row>
    <row r="178" spans="1:3" ht="15.75" thickBot="1" x14ac:dyDescent="0.3">
      <c r="A178" s="14" t="s">
        <v>213</v>
      </c>
      <c r="B178" s="15">
        <v>0.2</v>
      </c>
      <c r="C178" s="16">
        <v>0.3</v>
      </c>
    </row>
    <row r="179" spans="1:3" ht="15.75" thickBot="1" x14ac:dyDescent="0.3">
      <c r="A179" s="14" t="s">
        <v>214</v>
      </c>
      <c r="B179" s="15">
        <v>0.2</v>
      </c>
      <c r="C179" s="16">
        <v>0.3</v>
      </c>
    </row>
    <row r="180" spans="1:3" ht="15.75" thickBot="1" x14ac:dyDescent="0.3">
      <c r="A180" s="14" t="s">
        <v>215</v>
      </c>
      <c r="B180" s="15">
        <v>0.19</v>
      </c>
      <c r="C180" s="16">
        <v>0.28999999999999998</v>
      </c>
    </row>
    <row r="181" spans="1:3" ht="15.75" thickBot="1" x14ac:dyDescent="0.3">
      <c r="A181" s="14" t="s">
        <v>216</v>
      </c>
      <c r="B181" s="15">
        <v>0.2</v>
      </c>
      <c r="C181" s="16">
        <v>0.3</v>
      </c>
    </row>
    <row r="182" spans="1:3" ht="15.75" thickBot="1" x14ac:dyDescent="0.3">
      <c r="A182" s="14" t="s">
        <v>217</v>
      </c>
      <c r="B182" s="15">
        <v>0.2</v>
      </c>
      <c r="C182" s="16">
        <v>0.31</v>
      </c>
    </row>
    <row r="183" spans="1:3" ht="15.75" thickBot="1" x14ac:dyDescent="0.3">
      <c r="A183" s="14" t="s">
        <v>218</v>
      </c>
      <c r="B183" s="15">
        <v>0.2</v>
      </c>
      <c r="C183" s="16">
        <v>0.3</v>
      </c>
    </row>
    <row r="184" spans="1:3" ht="15.75" thickBot="1" x14ac:dyDescent="0.3">
      <c r="A184" s="14" t="s">
        <v>591</v>
      </c>
      <c r="B184" s="15">
        <v>0.2</v>
      </c>
      <c r="C184" s="16">
        <v>0.3</v>
      </c>
    </row>
    <row r="185" spans="1:3" ht="15.75" thickBot="1" x14ac:dyDescent="0.3">
      <c r="A185" s="14" t="s">
        <v>219</v>
      </c>
      <c r="B185" s="15">
        <v>0.2</v>
      </c>
      <c r="C185" s="16">
        <v>0.3</v>
      </c>
    </row>
    <row r="186" spans="1:3" ht="15.75" thickBot="1" x14ac:dyDescent="0.3">
      <c r="A186" s="14" t="s">
        <v>220</v>
      </c>
      <c r="B186" s="15">
        <v>0.2</v>
      </c>
      <c r="C186" s="16">
        <v>0.3</v>
      </c>
    </row>
    <row r="187" spans="1:3" ht="15.75" thickBot="1" x14ac:dyDescent="0.3">
      <c r="A187" s="14" t="s">
        <v>221</v>
      </c>
      <c r="B187" s="15">
        <v>0.2</v>
      </c>
      <c r="C187" s="16">
        <v>0.3</v>
      </c>
    </row>
    <row r="188" spans="1:3" ht="15.75" thickBot="1" x14ac:dyDescent="0.3">
      <c r="A188" s="14" t="s">
        <v>222</v>
      </c>
      <c r="B188" s="15">
        <v>0.2</v>
      </c>
      <c r="C188" s="16">
        <v>0.3</v>
      </c>
    </row>
    <row r="189" spans="1:3" ht="15.75" thickBot="1" x14ac:dyDescent="0.3">
      <c r="A189" s="14" t="s">
        <v>223</v>
      </c>
      <c r="B189" s="15">
        <v>0.2</v>
      </c>
      <c r="C189" s="16">
        <v>0.3</v>
      </c>
    </row>
    <row r="190" spans="1:3" ht="15.75" thickBot="1" x14ac:dyDescent="0.3">
      <c r="A190" s="14" t="s">
        <v>224</v>
      </c>
      <c r="B190" s="15">
        <v>0.2</v>
      </c>
      <c r="C190" s="16">
        <v>0.3</v>
      </c>
    </row>
    <row r="191" spans="1:3" ht="15.75" thickBot="1" x14ac:dyDescent="0.3">
      <c r="A191" s="14" t="s">
        <v>225</v>
      </c>
      <c r="B191" s="15">
        <v>0.2</v>
      </c>
      <c r="C191" s="16">
        <v>0.3</v>
      </c>
    </row>
    <row r="192" spans="1:3" ht="15.75" thickBot="1" x14ac:dyDescent="0.3">
      <c r="A192" s="14" t="s">
        <v>226</v>
      </c>
      <c r="B192" s="15">
        <v>0.2</v>
      </c>
      <c r="C192" s="16">
        <v>0.3</v>
      </c>
    </row>
    <row r="193" spans="1:3" ht="15.75" thickBot="1" x14ac:dyDescent="0.3">
      <c r="A193" s="14" t="s">
        <v>227</v>
      </c>
      <c r="B193" s="15">
        <v>0.2</v>
      </c>
      <c r="C193" s="16">
        <v>0.3</v>
      </c>
    </row>
    <row r="194" spans="1:3" ht="15.75" thickBot="1" x14ac:dyDescent="0.3">
      <c r="A194" s="14" t="s">
        <v>228</v>
      </c>
      <c r="B194" s="15">
        <v>0.2</v>
      </c>
      <c r="C194" s="16">
        <v>0.3</v>
      </c>
    </row>
    <row r="195" spans="1:3" ht="15.75" thickBot="1" x14ac:dyDescent="0.3">
      <c r="A195" s="14" t="s">
        <v>229</v>
      </c>
      <c r="B195" s="15">
        <v>0.2</v>
      </c>
      <c r="C195" s="16">
        <v>0.3</v>
      </c>
    </row>
    <row r="196" spans="1:3" ht="15.75" thickBot="1" x14ac:dyDescent="0.3">
      <c r="A196" s="14" t="s">
        <v>230</v>
      </c>
      <c r="B196" s="15">
        <v>0.21</v>
      </c>
      <c r="C196" s="16">
        <v>0.32</v>
      </c>
    </row>
    <row r="197" spans="1:3" ht="15.75" thickBot="1" x14ac:dyDescent="0.3">
      <c r="A197" s="14" t="s">
        <v>231</v>
      </c>
      <c r="B197" s="15">
        <v>0.15</v>
      </c>
      <c r="C197" s="16">
        <v>0.25</v>
      </c>
    </row>
    <row r="198" spans="1:3" ht="15.75" thickBot="1" x14ac:dyDescent="0.3">
      <c r="A198" s="14" t="s">
        <v>232</v>
      </c>
      <c r="B198" s="15">
        <v>0.2</v>
      </c>
      <c r="C198" s="16">
        <v>0.3</v>
      </c>
    </row>
    <row r="199" spans="1:3" ht="15.75" thickBot="1" x14ac:dyDescent="0.3">
      <c r="A199" s="14" t="s">
        <v>233</v>
      </c>
      <c r="B199" s="15">
        <v>0.2</v>
      </c>
      <c r="C199" s="16">
        <v>0.3</v>
      </c>
    </row>
    <row r="200" spans="1:3" ht="15.75" thickBot="1" x14ac:dyDescent="0.3">
      <c r="A200" s="14" t="s">
        <v>234</v>
      </c>
      <c r="B200" s="15">
        <v>0.2</v>
      </c>
      <c r="C200" s="16">
        <v>0.3</v>
      </c>
    </row>
    <row r="201" spans="1:3" ht="15.75" thickBot="1" x14ac:dyDescent="0.3">
      <c r="A201" s="14" t="s">
        <v>235</v>
      </c>
      <c r="B201" s="15">
        <v>0.2</v>
      </c>
      <c r="C201" s="16">
        <v>0.3</v>
      </c>
    </row>
    <row r="202" spans="1:3" ht="15.75" thickBot="1" x14ac:dyDescent="0.3">
      <c r="A202" s="14" t="s">
        <v>236</v>
      </c>
      <c r="B202" s="15">
        <v>0.2</v>
      </c>
      <c r="C202" s="16">
        <v>0.3</v>
      </c>
    </row>
    <row r="203" spans="1:3" ht="15.75" thickBot="1" x14ac:dyDescent="0.3">
      <c r="A203" s="14" t="s">
        <v>237</v>
      </c>
      <c r="B203" s="15">
        <v>0.2</v>
      </c>
      <c r="C203" s="16">
        <v>0.3</v>
      </c>
    </row>
    <row r="204" spans="1:3" ht="15.75" thickBot="1" x14ac:dyDescent="0.3">
      <c r="A204" s="14" t="s">
        <v>238</v>
      </c>
      <c r="B204" s="15">
        <v>0.2</v>
      </c>
      <c r="C204" s="16">
        <v>0.3</v>
      </c>
    </row>
    <row r="205" spans="1:3" ht="15.75" thickBot="1" x14ac:dyDescent="0.3">
      <c r="A205" s="14" t="s">
        <v>239</v>
      </c>
      <c r="B205" s="15">
        <v>0.2</v>
      </c>
      <c r="C205" s="16">
        <v>0.3</v>
      </c>
    </row>
    <row r="206" spans="1:3" ht="15.75" thickBot="1" x14ac:dyDescent="0.3">
      <c r="A206" s="14" t="s">
        <v>240</v>
      </c>
      <c r="B206" s="15">
        <v>0.2</v>
      </c>
      <c r="C206" s="16">
        <v>0.3</v>
      </c>
    </row>
    <row r="207" spans="1:3" ht="15.75" thickBot="1" x14ac:dyDescent="0.3">
      <c r="A207" s="14" t="s">
        <v>241</v>
      </c>
      <c r="B207" s="15">
        <v>0.2</v>
      </c>
      <c r="C207" s="16">
        <v>0.3</v>
      </c>
    </row>
    <row r="208" spans="1:3" ht="15.75" thickBot="1" x14ac:dyDescent="0.3">
      <c r="A208" s="14" t="s">
        <v>242</v>
      </c>
      <c r="B208" s="15">
        <v>0.2</v>
      </c>
      <c r="C208" s="16">
        <v>0.3</v>
      </c>
    </row>
    <row r="209" spans="1:3" ht="15.75" thickBot="1" x14ac:dyDescent="0.3">
      <c r="A209" s="14" t="s">
        <v>243</v>
      </c>
      <c r="B209" s="15">
        <v>0.2</v>
      </c>
      <c r="C209" s="16">
        <v>0.3</v>
      </c>
    </row>
    <row r="210" spans="1:3" ht="15.75" thickBot="1" x14ac:dyDescent="0.3">
      <c r="A210" s="14" t="s">
        <v>244</v>
      </c>
      <c r="B210" s="15">
        <v>0.2</v>
      </c>
      <c r="C210" s="16">
        <v>0.3</v>
      </c>
    </row>
    <row r="211" spans="1:3" ht="15.75" thickBot="1" x14ac:dyDescent="0.3">
      <c r="A211" s="14" t="s">
        <v>245</v>
      </c>
      <c r="B211" s="15">
        <v>0.2</v>
      </c>
      <c r="C211" s="16">
        <v>0.3</v>
      </c>
    </row>
    <row r="212" spans="1:3" ht="15.75" thickBot="1" x14ac:dyDescent="0.3">
      <c r="A212" s="14" t="s">
        <v>246</v>
      </c>
      <c r="B212" s="15">
        <v>0.2</v>
      </c>
      <c r="C212" s="16">
        <v>0.3</v>
      </c>
    </row>
    <row r="213" spans="1:3" ht="15.75" thickBot="1" x14ac:dyDescent="0.3">
      <c r="A213" s="14" t="s">
        <v>247</v>
      </c>
      <c r="B213" s="15">
        <v>0.2</v>
      </c>
      <c r="C213" s="16">
        <v>0.3</v>
      </c>
    </row>
    <row r="214" spans="1:3" ht="15.75" thickBot="1" x14ac:dyDescent="0.3">
      <c r="A214" s="14" t="s">
        <v>248</v>
      </c>
      <c r="B214" s="15">
        <v>0.2</v>
      </c>
      <c r="C214" s="16">
        <v>0.3</v>
      </c>
    </row>
    <row r="215" spans="1:3" ht="15.75" thickBot="1" x14ac:dyDescent="0.3">
      <c r="A215" s="14" t="s">
        <v>249</v>
      </c>
      <c r="B215" s="15">
        <v>0.2</v>
      </c>
      <c r="C215" s="16">
        <v>0.3</v>
      </c>
    </row>
    <row r="216" spans="1:3" ht="15.75" thickBot="1" x14ac:dyDescent="0.3">
      <c r="A216" s="14" t="s">
        <v>250</v>
      </c>
      <c r="B216" s="15">
        <v>0.2</v>
      </c>
      <c r="C216" s="16">
        <v>0.3</v>
      </c>
    </row>
    <row r="217" spans="1:3" ht="15.75" thickBot="1" x14ac:dyDescent="0.3">
      <c r="A217" s="14" t="s">
        <v>251</v>
      </c>
      <c r="B217" s="15">
        <v>0.2</v>
      </c>
      <c r="C217" s="16">
        <v>0.3</v>
      </c>
    </row>
    <row r="218" spans="1:3" ht="15.75" thickBot="1" x14ac:dyDescent="0.3">
      <c r="A218" s="14" t="s">
        <v>252</v>
      </c>
      <c r="B218" s="15">
        <v>0.2</v>
      </c>
      <c r="C218" s="16">
        <v>0.3</v>
      </c>
    </row>
    <row r="219" spans="1:3" ht="15.75" thickBot="1" x14ac:dyDescent="0.3">
      <c r="A219" s="14" t="s">
        <v>253</v>
      </c>
      <c r="B219" s="15">
        <v>0.2</v>
      </c>
      <c r="C219" s="16">
        <v>0.3</v>
      </c>
    </row>
    <row r="220" spans="1:3" ht="15.75" thickBot="1" x14ac:dyDescent="0.3">
      <c r="A220" s="14" t="s">
        <v>254</v>
      </c>
      <c r="B220" s="15">
        <v>0.2</v>
      </c>
      <c r="C220" s="16">
        <v>0.3</v>
      </c>
    </row>
    <row r="221" spans="1:3" ht="15.75" thickBot="1" x14ac:dyDescent="0.3">
      <c r="A221" s="14" t="s">
        <v>255</v>
      </c>
      <c r="B221" s="15">
        <v>0.2</v>
      </c>
      <c r="C221" s="16">
        <v>0.3</v>
      </c>
    </row>
    <row r="222" spans="1:3" ht="15.75" thickBot="1" x14ac:dyDescent="0.3">
      <c r="A222" s="14" t="s">
        <v>256</v>
      </c>
      <c r="B222" s="15">
        <v>0.2</v>
      </c>
      <c r="C222" s="16">
        <v>0.3</v>
      </c>
    </row>
    <row r="223" spans="1:3" ht="15.75" thickBot="1" x14ac:dyDescent="0.3">
      <c r="A223" s="14" t="s">
        <v>257</v>
      </c>
      <c r="B223" s="15">
        <v>0.2</v>
      </c>
      <c r="C223" s="16">
        <v>0.3</v>
      </c>
    </row>
    <row r="224" spans="1:3" ht="15.75" thickBot="1" x14ac:dyDescent="0.3">
      <c r="A224" s="14" t="s">
        <v>258</v>
      </c>
      <c r="B224" s="15">
        <v>0.2</v>
      </c>
      <c r="C224" s="16">
        <v>0.3</v>
      </c>
    </row>
    <row r="225" spans="1:3" ht="15.75" thickBot="1" x14ac:dyDescent="0.3">
      <c r="A225" s="14" t="s">
        <v>259</v>
      </c>
      <c r="B225" s="15">
        <v>0.2</v>
      </c>
      <c r="C225" s="16">
        <v>0.3</v>
      </c>
    </row>
    <row r="226" spans="1:3" ht="15.75" thickBot="1" x14ac:dyDescent="0.3">
      <c r="A226" s="14" t="s">
        <v>260</v>
      </c>
      <c r="B226" s="15">
        <v>0.2</v>
      </c>
      <c r="C226" s="16">
        <v>0.3</v>
      </c>
    </row>
    <row r="227" spans="1:3" ht="15.75" thickBot="1" x14ac:dyDescent="0.3">
      <c r="A227" s="14" t="s">
        <v>261</v>
      </c>
      <c r="B227" s="15">
        <v>0.2</v>
      </c>
      <c r="C227" s="16">
        <v>0.3</v>
      </c>
    </row>
    <row r="228" spans="1:3" ht="15.75" thickBot="1" x14ac:dyDescent="0.3">
      <c r="A228" s="14" t="s">
        <v>262</v>
      </c>
      <c r="B228" s="15">
        <v>0.2</v>
      </c>
      <c r="C228" s="16">
        <v>0.3</v>
      </c>
    </row>
    <row r="229" spans="1:3" ht="15.75" thickBot="1" x14ac:dyDescent="0.3">
      <c r="A229" s="14" t="s">
        <v>263</v>
      </c>
      <c r="B229" s="15">
        <v>0.2</v>
      </c>
      <c r="C229" s="16">
        <v>0.3</v>
      </c>
    </row>
    <row r="230" spans="1:3" ht="15.75" thickBot="1" x14ac:dyDescent="0.3">
      <c r="A230" s="14" t="s">
        <v>264</v>
      </c>
      <c r="B230" s="15">
        <v>0.2</v>
      </c>
      <c r="C230" s="16">
        <v>0.3</v>
      </c>
    </row>
    <row r="231" spans="1:3" ht="15.75" thickBot="1" x14ac:dyDescent="0.3">
      <c r="A231" s="14" t="s">
        <v>265</v>
      </c>
      <c r="B231" s="15">
        <v>0.2</v>
      </c>
      <c r="C231" s="16">
        <v>0.3</v>
      </c>
    </row>
    <row r="232" spans="1:3" ht="15.75" thickBot="1" x14ac:dyDescent="0.3">
      <c r="A232" s="14" t="s">
        <v>266</v>
      </c>
      <c r="B232" s="15">
        <v>0.21</v>
      </c>
      <c r="C232" s="16">
        <v>0.31</v>
      </c>
    </row>
    <row r="233" spans="1:3" ht="15.75" thickBot="1" x14ac:dyDescent="0.3">
      <c r="A233" s="14" t="s">
        <v>267</v>
      </c>
      <c r="B233" s="15">
        <v>0.2</v>
      </c>
      <c r="C233" s="16">
        <v>0.3</v>
      </c>
    </row>
    <row r="234" spans="1:3" ht="15.75" thickBot="1" x14ac:dyDescent="0.3">
      <c r="A234" s="14" t="s">
        <v>268</v>
      </c>
      <c r="B234" s="15">
        <v>0.2</v>
      </c>
      <c r="C234" s="16">
        <v>0.3</v>
      </c>
    </row>
    <row r="235" spans="1:3" ht="15.75" thickBot="1" x14ac:dyDescent="0.3">
      <c r="A235" s="14" t="s">
        <v>269</v>
      </c>
      <c r="B235" s="15">
        <v>0.2</v>
      </c>
      <c r="C235" s="16">
        <v>0.3</v>
      </c>
    </row>
    <row r="236" spans="1:3" ht="15.75" thickBot="1" x14ac:dyDescent="0.3">
      <c r="A236" s="14" t="s">
        <v>270</v>
      </c>
      <c r="B236" s="15">
        <v>0.2</v>
      </c>
      <c r="C236" s="16">
        <v>0.3</v>
      </c>
    </row>
    <row r="237" spans="1:3" ht="15.75" thickBot="1" x14ac:dyDescent="0.3">
      <c r="A237" s="14" t="s">
        <v>271</v>
      </c>
      <c r="B237" s="15">
        <v>0.2</v>
      </c>
      <c r="C237" s="16">
        <v>0.3</v>
      </c>
    </row>
    <row r="238" spans="1:3" ht="15.75" thickBot="1" x14ac:dyDescent="0.3">
      <c r="A238" s="14" t="s">
        <v>272</v>
      </c>
      <c r="B238" s="15">
        <v>0.2</v>
      </c>
      <c r="C238" s="16">
        <v>0.3</v>
      </c>
    </row>
    <row r="239" spans="1:3" ht="15.75" thickBot="1" x14ac:dyDescent="0.3">
      <c r="A239" s="14" t="s">
        <v>273</v>
      </c>
      <c r="B239" s="15">
        <v>0.2</v>
      </c>
      <c r="C239" s="16">
        <v>0.3</v>
      </c>
    </row>
    <row r="240" spans="1:3" ht="15.75" thickBot="1" x14ac:dyDescent="0.3">
      <c r="A240" s="14" t="s">
        <v>274</v>
      </c>
      <c r="B240" s="15">
        <v>0.2</v>
      </c>
      <c r="C240" s="16">
        <v>0.3</v>
      </c>
    </row>
    <row r="241" spans="1:3" ht="15.75" thickBot="1" x14ac:dyDescent="0.3">
      <c r="A241" s="14" t="s">
        <v>275</v>
      </c>
      <c r="B241" s="15">
        <v>0.2</v>
      </c>
      <c r="C241" s="16">
        <v>0.3</v>
      </c>
    </row>
    <row r="242" spans="1:3" ht="15.75" thickBot="1" x14ac:dyDescent="0.3">
      <c r="A242" s="14" t="s">
        <v>276</v>
      </c>
      <c r="B242" s="15">
        <v>0.2</v>
      </c>
      <c r="C242" s="16">
        <v>0.3</v>
      </c>
    </row>
    <row r="243" spans="1:3" ht="15.75" thickBot="1" x14ac:dyDescent="0.3">
      <c r="A243" s="14" t="s">
        <v>277</v>
      </c>
      <c r="B243" s="15">
        <v>0.2</v>
      </c>
      <c r="C243" s="16">
        <v>0.3</v>
      </c>
    </row>
    <row r="244" spans="1:3" ht="15.75" thickBot="1" x14ac:dyDescent="0.3">
      <c r="A244" s="14" t="s">
        <v>278</v>
      </c>
      <c r="B244" s="15">
        <v>0.2</v>
      </c>
      <c r="C244" s="16">
        <v>0.3</v>
      </c>
    </row>
    <row r="245" spans="1:3" ht="15.75" thickBot="1" x14ac:dyDescent="0.3">
      <c r="A245" s="14" t="s">
        <v>279</v>
      </c>
      <c r="B245" s="15">
        <v>0.2</v>
      </c>
      <c r="C245" s="16">
        <v>0.3</v>
      </c>
    </row>
    <row r="246" spans="1:3" ht="15.75" thickBot="1" x14ac:dyDescent="0.3">
      <c r="A246" s="14" t="s">
        <v>280</v>
      </c>
      <c r="B246" s="15">
        <v>0.2</v>
      </c>
      <c r="C246" s="16">
        <v>0.31</v>
      </c>
    </row>
    <row r="247" spans="1:3" ht="15.75" thickBot="1" x14ac:dyDescent="0.3">
      <c r="A247" s="14" t="s">
        <v>281</v>
      </c>
      <c r="B247" s="15">
        <v>0.2</v>
      </c>
      <c r="C247" s="16">
        <v>0.3</v>
      </c>
    </row>
    <row r="248" spans="1:3" ht="15.75" thickBot="1" x14ac:dyDescent="0.3">
      <c r="A248" s="14" t="s">
        <v>282</v>
      </c>
      <c r="B248" s="15">
        <v>0.2</v>
      </c>
      <c r="C248" s="16">
        <v>0.3</v>
      </c>
    </row>
    <row r="249" spans="1:3" ht="15.75" thickBot="1" x14ac:dyDescent="0.3">
      <c r="A249" s="14" t="s">
        <v>283</v>
      </c>
      <c r="B249" s="15">
        <v>0.2</v>
      </c>
      <c r="C249" s="16">
        <v>0.3</v>
      </c>
    </row>
    <row r="250" spans="1:3" ht="15.75" thickBot="1" x14ac:dyDescent="0.3">
      <c r="A250" s="14" t="s">
        <v>284</v>
      </c>
      <c r="B250" s="15">
        <v>0.2</v>
      </c>
      <c r="C250" s="16">
        <v>0.3</v>
      </c>
    </row>
    <row r="251" spans="1:3" ht="15.75" thickBot="1" x14ac:dyDescent="0.3">
      <c r="A251" s="14" t="s">
        <v>285</v>
      </c>
      <c r="B251" s="15">
        <v>0.2</v>
      </c>
      <c r="C251" s="16">
        <v>0.3</v>
      </c>
    </row>
    <row r="252" spans="1:3" ht="15.75" thickBot="1" x14ac:dyDescent="0.3">
      <c r="A252" s="14" t="s">
        <v>286</v>
      </c>
      <c r="B252" s="15">
        <v>0.2</v>
      </c>
      <c r="C252" s="16">
        <v>0.3</v>
      </c>
    </row>
    <row r="253" spans="1:3" ht="15.75" thickBot="1" x14ac:dyDescent="0.3">
      <c r="A253" s="14" t="s">
        <v>287</v>
      </c>
      <c r="B253" s="15">
        <v>0.2</v>
      </c>
      <c r="C253" s="16">
        <v>0.3</v>
      </c>
    </row>
    <row r="254" spans="1:3" ht="15.75" thickBot="1" x14ac:dyDescent="0.3">
      <c r="A254" s="14" t="s">
        <v>288</v>
      </c>
      <c r="B254" s="15">
        <v>0.2</v>
      </c>
      <c r="C254" s="16">
        <v>0.3</v>
      </c>
    </row>
    <row r="255" spans="1:3" ht="15.75" thickBot="1" x14ac:dyDescent="0.3">
      <c r="A255" s="14" t="s">
        <v>289</v>
      </c>
      <c r="B255" s="15">
        <v>0.18</v>
      </c>
      <c r="C255" s="16">
        <v>0.31</v>
      </c>
    </row>
    <row r="256" spans="1:3" ht="15.75" thickBot="1" x14ac:dyDescent="0.3">
      <c r="A256" s="14" t="s">
        <v>290</v>
      </c>
      <c r="B256" s="15">
        <v>0.2</v>
      </c>
      <c r="C256" s="16">
        <v>0.3</v>
      </c>
    </row>
    <row r="257" spans="1:3" ht="15.75" thickBot="1" x14ac:dyDescent="0.3">
      <c r="A257" s="14" t="s">
        <v>291</v>
      </c>
      <c r="B257" s="15">
        <v>0.2</v>
      </c>
      <c r="C257" s="16">
        <v>0.3</v>
      </c>
    </row>
    <row r="258" spans="1:3" ht="15.75" thickBot="1" x14ac:dyDescent="0.3">
      <c r="A258" s="14" t="s">
        <v>292</v>
      </c>
      <c r="B258" s="15">
        <v>0.2</v>
      </c>
      <c r="C258" s="16">
        <v>0.3</v>
      </c>
    </row>
    <row r="259" spans="1:3" ht="15.75" thickBot="1" x14ac:dyDescent="0.3">
      <c r="A259" s="14" t="s">
        <v>293</v>
      </c>
      <c r="B259" s="15">
        <v>0.2</v>
      </c>
      <c r="C259" s="16">
        <v>0.3</v>
      </c>
    </row>
    <row r="260" spans="1:3" ht="15.75" thickBot="1" x14ac:dyDescent="0.3">
      <c r="A260" s="14" t="s">
        <v>294</v>
      </c>
      <c r="B260" s="15">
        <v>0.2</v>
      </c>
      <c r="C260" s="16">
        <v>0.3</v>
      </c>
    </row>
    <row r="261" spans="1:3" ht="15.75" thickBot="1" x14ac:dyDescent="0.3">
      <c r="A261" s="14" t="s">
        <v>295</v>
      </c>
      <c r="B261" s="15">
        <v>0.2</v>
      </c>
      <c r="C261" s="16">
        <v>0.3</v>
      </c>
    </row>
    <row r="262" spans="1:3" ht="15.75" thickBot="1" x14ac:dyDescent="0.3">
      <c r="A262" s="14" t="s">
        <v>296</v>
      </c>
      <c r="B262" s="15">
        <v>0.2</v>
      </c>
      <c r="C262" s="16">
        <v>0.3</v>
      </c>
    </row>
    <row r="263" spans="1:3" ht="15.75" thickBot="1" x14ac:dyDescent="0.3">
      <c r="A263" s="14" t="s">
        <v>297</v>
      </c>
      <c r="B263" s="15">
        <v>0.2</v>
      </c>
      <c r="C263" s="16">
        <v>0.3</v>
      </c>
    </row>
    <row r="264" spans="1:3" ht="15.75" thickBot="1" x14ac:dyDescent="0.3">
      <c r="A264" s="14" t="s">
        <v>298</v>
      </c>
      <c r="B264" s="15">
        <v>0.2</v>
      </c>
      <c r="C264" s="16">
        <v>0.3</v>
      </c>
    </row>
    <row r="265" spans="1:3" ht="15.75" thickBot="1" x14ac:dyDescent="0.3">
      <c r="A265" s="14" t="s">
        <v>299</v>
      </c>
      <c r="B265" s="15">
        <v>0.2</v>
      </c>
      <c r="C265" s="16">
        <v>0.3</v>
      </c>
    </row>
    <row r="266" spans="1:3" ht="15.75" thickBot="1" x14ac:dyDescent="0.3">
      <c r="A266" s="14" t="s">
        <v>300</v>
      </c>
      <c r="B266" s="15">
        <v>0.2</v>
      </c>
      <c r="C266" s="16">
        <v>0.3</v>
      </c>
    </row>
    <row r="267" spans="1:3" ht="15.75" thickBot="1" x14ac:dyDescent="0.3">
      <c r="A267" s="14" t="s">
        <v>301</v>
      </c>
      <c r="B267" s="15">
        <v>0.2</v>
      </c>
      <c r="C267" s="16">
        <v>0.3</v>
      </c>
    </row>
    <row r="268" spans="1:3" ht="15.75" thickBot="1" x14ac:dyDescent="0.3">
      <c r="A268" s="14" t="s">
        <v>302</v>
      </c>
      <c r="B268" s="15">
        <v>0.2</v>
      </c>
      <c r="C268" s="16">
        <v>0.3</v>
      </c>
    </row>
    <row r="269" spans="1:3" ht="15.75" thickBot="1" x14ac:dyDescent="0.3">
      <c r="A269" s="14" t="s">
        <v>303</v>
      </c>
      <c r="B269" s="15">
        <v>0.2</v>
      </c>
      <c r="C269" s="16">
        <v>0.3</v>
      </c>
    </row>
    <row r="270" spans="1:3" ht="15.75" thickBot="1" x14ac:dyDescent="0.3">
      <c r="A270" s="14" t="s">
        <v>304</v>
      </c>
      <c r="B270" s="15">
        <v>0.2</v>
      </c>
      <c r="C270" s="16">
        <v>0.3</v>
      </c>
    </row>
    <row r="271" spans="1:3" ht="15.75" thickBot="1" x14ac:dyDescent="0.3">
      <c r="A271" s="14" t="s">
        <v>305</v>
      </c>
      <c r="B271" s="15">
        <v>0.2</v>
      </c>
      <c r="C271" s="16">
        <v>0.3</v>
      </c>
    </row>
    <row r="272" spans="1:3" ht="15.75" thickBot="1" x14ac:dyDescent="0.3">
      <c r="A272" s="14" t="s">
        <v>306</v>
      </c>
      <c r="B272" s="15">
        <v>0.2</v>
      </c>
      <c r="C272" s="16">
        <v>0.3</v>
      </c>
    </row>
    <row r="273" spans="1:3" ht="15.75" thickBot="1" x14ac:dyDescent="0.3">
      <c r="A273" s="14" t="s">
        <v>307</v>
      </c>
      <c r="B273" s="15">
        <v>0.2</v>
      </c>
      <c r="C273" s="16">
        <v>0.3</v>
      </c>
    </row>
    <row r="274" spans="1:3" ht="15.75" thickBot="1" x14ac:dyDescent="0.3">
      <c r="A274" s="14" t="s">
        <v>308</v>
      </c>
      <c r="B274" s="15">
        <v>0.2</v>
      </c>
      <c r="C274" s="16">
        <v>0.3</v>
      </c>
    </row>
    <row r="275" spans="1:3" ht="15.75" thickBot="1" x14ac:dyDescent="0.3">
      <c r="A275" s="14" t="s">
        <v>309</v>
      </c>
      <c r="B275" s="15">
        <v>0.2</v>
      </c>
      <c r="C275" s="16">
        <v>0.27</v>
      </c>
    </row>
    <row r="276" spans="1:3" ht="15.75" thickBot="1" x14ac:dyDescent="0.3">
      <c r="A276" s="14" t="s">
        <v>310</v>
      </c>
      <c r="B276" s="15">
        <v>0.15</v>
      </c>
      <c r="C276" s="16">
        <v>0.25</v>
      </c>
    </row>
    <row r="277" spans="1:3" ht="15.75" thickBot="1" x14ac:dyDescent="0.3">
      <c r="A277" s="14" t="s">
        <v>311</v>
      </c>
      <c r="B277" s="15">
        <v>0.2</v>
      </c>
      <c r="C277" s="16">
        <v>0.3</v>
      </c>
    </row>
    <row r="278" spans="1:3" ht="15.75" thickBot="1" x14ac:dyDescent="0.3">
      <c r="A278" s="14" t="s">
        <v>312</v>
      </c>
      <c r="B278" s="15">
        <v>0.2</v>
      </c>
      <c r="C278" s="16">
        <v>0.3</v>
      </c>
    </row>
    <row r="279" spans="1:3" ht="15.75" thickBot="1" x14ac:dyDescent="0.3">
      <c r="A279" s="14" t="s">
        <v>313</v>
      </c>
      <c r="B279" s="15">
        <v>0.2</v>
      </c>
      <c r="C279" s="16">
        <v>0.3</v>
      </c>
    </row>
    <row r="280" spans="1:3" ht="15.75" thickBot="1" x14ac:dyDescent="0.3">
      <c r="A280" s="14" t="s">
        <v>314</v>
      </c>
      <c r="B280" s="15">
        <v>0.2</v>
      </c>
      <c r="C280" s="16">
        <v>0.3</v>
      </c>
    </row>
    <row r="281" spans="1:3" ht="15.75" thickBot="1" x14ac:dyDescent="0.3">
      <c r="A281" s="14" t="s">
        <v>315</v>
      </c>
      <c r="B281" s="15">
        <v>0.2</v>
      </c>
      <c r="C281" s="16">
        <v>0.3</v>
      </c>
    </row>
    <row r="282" spans="1:3" ht="15.75" thickBot="1" x14ac:dyDescent="0.3">
      <c r="A282" s="14" t="s">
        <v>316</v>
      </c>
      <c r="B282" s="15">
        <v>0.2</v>
      </c>
      <c r="C282" s="16">
        <v>0.3</v>
      </c>
    </row>
    <row r="283" spans="1:3" ht="15.75" thickBot="1" x14ac:dyDescent="0.3">
      <c r="A283" s="14" t="s">
        <v>317</v>
      </c>
      <c r="B283" s="15">
        <v>0.2</v>
      </c>
      <c r="C283" s="16">
        <v>0.3</v>
      </c>
    </row>
    <row r="284" spans="1:3" ht="15.75" thickBot="1" x14ac:dyDescent="0.3">
      <c r="A284" s="14" t="s">
        <v>318</v>
      </c>
      <c r="B284" s="15">
        <v>0.2</v>
      </c>
      <c r="C284" s="16">
        <v>0.3</v>
      </c>
    </row>
    <row r="285" spans="1:3" ht="15.75" thickBot="1" x14ac:dyDescent="0.3">
      <c r="A285" s="14" t="s">
        <v>319</v>
      </c>
      <c r="B285" s="15">
        <v>0.2</v>
      </c>
      <c r="C285" s="16">
        <v>0.3</v>
      </c>
    </row>
    <row r="286" spans="1:3" ht="15.75" thickBot="1" x14ac:dyDescent="0.3">
      <c r="A286" s="14" t="s">
        <v>320</v>
      </c>
      <c r="B286" s="15">
        <v>0.2</v>
      </c>
      <c r="C286" s="16">
        <v>0.3</v>
      </c>
    </row>
    <row r="287" spans="1:3" ht="15.75" thickBot="1" x14ac:dyDescent="0.3">
      <c r="A287" s="14" t="s">
        <v>321</v>
      </c>
      <c r="B287" s="15">
        <v>0.2</v>
      </c>
      <c r="C287" s="16">
        <v>0.3</v>
      </c>
    </row>
    <row r="288" spans="1:3" ht="15.75" thickBot="1" x14ac:dyDescent="0.3">
      <c r="A288" s="14" t="s">
        <v>322</v>
      </c>
      <c r="B288" s="15">
        <v>0.2</v>
      </c>
      <c r="C288" s="16">
        <v>0.3</v>
      </c>
    </row>
    <row r="289" spans="1:3" ht="15.75" thickBot="1" x14ac:dyDescent="0.3">
      <c r="A289" s="14" t="s">
        <v>323</v>
      </c>
      <c r="B289" s="15">
        <v>0.2</v>
      </c>
      <c r="C289" s="16">
        <v>0.3</v>
      </c>
    </row>
    <row r="290" spans="1:3" ht="15.75" thickBot="1" x14ac:dyDescent="0.3">
      <c r="A290" s="14" t="s">
        <v>324</v>
      </c>
      <c r="B290" s="15">
        <v>0.2</v>
      </c>
      <c r="C290" s="16">
        <v>0.3</v>
      </c>
    </row>
    <row r="291" spans="1:3" ht="15.75" thickBot="1" x14ac:dyDescent="0.3">
      <c r="A291" s="14" t="s">
        <v>325</v>
      </c>
      <c r="B291" s="15">
        <v>0.21</v>
      </c>
      <c r="C291" s="16">
        <v>0.31</v>
      </c>
    </row>
    <row r="292" spans="1:3" ht="15.75" thickBot="1" x14ac:dyDescent="0.3">
      <c r="A292" s="14" t="s">
        <v>326</v>
      </c>
      <c r="B292" s="15">
        <v>0.2</v>
      </c>
      <c r="C292" s="16">
        <v>0.3</v>
      </c>
    </row>
    <row r="293" spans="1:3" ht="15.75" thickBot="1" x14ac:dyDescent="0.3">
      <c r="A293" s="14" t="s">
        <v>327</v>
      </c>
      <c r="B293" s="15">
        <v>0.2</v>
      </c>
      <c r="C293" s="16">
        <v>0.3</v>
      </c>
    </row>
    <row r="294" spans="1:3" ht="15.75" thickBot="1" x14ac:dyDescent="0.3">
      <c r="A294" s="14" t="s">
        <v>328</v>
      </c>
      <c r="B294" s="15">
        <v>0.2</v>
      </c>
      <c r="C294" s="16">
        <v>0.3</v>
      </c>
    </row>
    <row r="295" spans="1:3" ht="15.75" thickBot="1" x14ac:dyDescent="0.3">
      <c r="A295" s="14" t="s">
        <v>329</v>
      </c>
      <c r="B295" s="15">
        <v>0.2</v>
      </c>
      <c r="C295" s="16">
        <v>0.3</v>
      </c>
    </row>
    <row r="296" spans="1:3" ht="15.75" thickBot="1" x14ac:dyDescent="0.3">
      <c r="A296" s="14" t="s">
        <v>330</v>
      </c>
      <c r="B296" s="15">
        <v>0.2</v>
      </c>
      <c r="C296" s="16">
        <v>0.3</v>
      </c>
    </row>
    <row r="297" spans="1:3" ht="15.75" thickBot="1" x14ac:dyDescent="0.3">
      <c r="A297" s="14" t="s">
        <v>331</v>
      </c>
      <c r="B297" s="15">
        <v>0.2</v>
      </c>
      <c r="C297" s="16">
        <v>0.3</v>
      </c>
    </row>
    <row r="298" spans="1:3" ht="15.75" thickBot="1" x14ac:dyDescent="0.3">
      <c r="A298" s="14" t="s">
        <v>332</v>
      </c>
      <c r="B298" s="15">
        <v>0.2</v>
      </c>
      <c r="C298" s="16">
        <v>0.3</v>
      </c>
    </row>
    <row r="299" spans="1:3" ht="15.75" thickBot="1" x14ac:dyDescent="0.3">
      <c r="A299" s="14" t="s">
        <v>333</v>
      </c>
      <c r="B299" s="15">
        <v>0.2</v>
      </c>
      <c r="C299" s="16">
        <v>0.31</v>
      </c>
    </row>
    <row r="300" spans="1:3" ht="15.75" thickBot="1" x14ac:dyDescent="0.3">
      <c r="A300" s="14" t="s">
        <v>334</v>
      </c>
      <c r="B300" s="15">
        <v>0.2</v>
      </c>
      <c r="C300" s="16">
        <v>0.3</v>
      </c>
    </row>
    <row r="301" spans="1:3" ht="15.75" thickBot="1" x14ac:dyDescent="0.3">
      <c r="A301" s="14" t="s">
        <v>335</v>
      </c>
      <c r="B301" s="15">
        <v>0.2</v>
      </c>
      <c r="C301" s="16">
        <v>0.3</v>
      </c>
    </row>
    <row r="302" spans="1:3" ht="15.75" thickBot="1" x14ac:dyDescent="0.3">
      <c r="A302" s="14" t="s">
        <v>336</v>
      </c>
      <c r="B302" s="15">
        <v>0.2</v>
      </c>
      <c r="C302" s="16">
        <v>0.3</v>
      </c>
    </row>
    <row r="303" spans="1:3" ht="15.75" thickBot="1" x14ac:dyDescent="0.3">
      <c r="A303" s="14" t="s">
        <v>337</v>
      </c>
      <c r="B303" s="15">
        <v>0.2</v>
      </c>
      <c r="C303" s="16">
        <v>0.3</v>
      </c>
    </row>
    <row r="304" spans="1:3" ht="15.75" thickBot="1" x14ac:dyDescent="0.3">
      <c r="A304" s="14" t="s">
        <v>338</v>
      </c>
      <c r="B304" s="15">
        <v>0.2</v>
      </c>
      <c r="C304" s="16">
        <v>0.3</v>
      </c>
    </row>
    <row r="305" spans="1:3" ht="15.75" thickBot="1" x14ac:dyDescent="0.3">
      <c r="A305" s="14" t="s">
        <v>339</v>
      </c>
      <c r="B305" s="15">
        <v>0.2</v>
      </c>
      <c r="C305" s="16">
        <v>0.3</v>
      </c>
    </row>
    <row r="306" spans="1:3" ht="15.75" thickBot="1" x14ac:dyDescent="0.3">
      <c r="A306" s="14" t="s">
        <v>340</v>
      </c>
      <c r="B306" s="15">
        <v>0.2</v>
      </c>
      <c r="C306" s="16">
        <v>0.3</v>
      </c>
    </row>
    <row r="307" spans="1:3" ht="15.75" thickBot="1" x14ac:dyDescent="0.3">
      <c r="A307" s="14" t="s">
        <v>341</v>
      </c>
      <c r="B307" s="15">
        <v>0.2</v>
      </c>
      <c r="C307" s="16">
        <v>0.3</v>
      </c>
    </row>
    <row r="308" spans="1:3" ht="15.75" thickBot="1" x14ac:dyDescent="0.3">
      <c r="A308" s="14" t="s">
        <v>342</v>
      </c>
      <c r="B308" s="15">
        <v>0.21</v>
      </c>
      <c r="C308" s="16">
        <v>0.31</v>
      </c>
    </row>
    <row r="309" spans="1:3" ht="15.75" thickBot="1" x14ac:dyDescent="0.3">
      <c r="A309" s="14" t="s">
        <v>343</v>
      </c>
      <c r="B309" s="15">
        <v>0.2</v>
      </c>
      <c r="C309" s="16">
        <v>0.3</v>
      </c>
    </row>
    <row r="310" spans="1:3" ht="15.75" thickBot="1" x14ac:dyDescent="0.3">
      <c r="A310" s="14" t="s">
        <v>344</v>
      </c>
      <c r="B310" s="15">
        <v>0.2</v>
      </c>
      <c r="C310" s="16">
        <v>0.3</v>
      </c>
    </row>
    <row r="311" spans="1:3" ht="15.75" thickBot="1" x14ac:dyDescent="0.3">
      <c r="A311" s="14" t="s">
        <v>345</v>
      </c>
      <c r="B311" s="15">
        <v>0.2</v>
      </c>
      <c r="C311" s="16">
        <v>0.3</v>
      </c>
    </row>
    <row r="312" spans="1:3" ht="15.75" thickBot="1" x14ac:dyDescent="0.3">
      <c r="A312" s="14" t="s">
        <v>346</v>
      </c>
      <c r="B312" s="15">
        <v>0.2</v>
      </c>
      <c r="C312" s="16">
        <v>0.3</v>
      </c>
    </row>
    <row r="313" spans="1:3" ht="15.75" thickBot="1" x14ac:dyDescent="0.3">
      <c r="A313" s="14" t="s">
        <v>347</v>
      </c>
      <c r="B313" s="15">
        <v>0.2</v>
      </c>
      <c r="C313" s="16">
        <v>0.3</v>
      </c>
    </row>
    <row r="314" spans="1:3" ht="15.75" thickBot="1" x14ac:dyDescent="0.3">
      <c r="A314" s="14" t="s">
        <v>348</v>
      </c>
      <c r="B314" s="15">
        <v>0.2</v>
      </c>
      <c r="C314" s="16">
        <v>0.3</v>
      </c>
    </row>
    <row r="315" spans="1:3" ht="15.75" thickBot="1" x14ac:dyDescent="0.3">
      <c r="A315" s="14" t="s">
        <v>349</v>
      </c>
      <c r="B315" s="15">
        <v>0.2</v>
      </c>
      <c r="C315" s="16">
        <v>0.3</v>
      </c>
    </row>
    <row r="316" spans="1:3" ht="15.75" thickBot="1" x14ac:dyDescent="0.3">
      <c r="A316" s="14" t="s">
        <v>350</v>
      </c>
      <c r="B316" s="15">
        <v>0.2</v>
      </c>
      <c r="C316" s="16">
        <v>0.3</v>
      </c>
    </row>
    <row r="317" spans="1:3" ht="15.75" thickBot="1" x14ac:dyDescent="0.3">
      <c r="A317" s="14" t="s">
        <v>351</v>
      </c>
      <c r="B317" s="15">
        <v>0.2</v>
      </c>
      <c r="C317" s="16">
        <v>0.3</v>
      </c>
    </row>
    <row r="318" spans="1:3" ht="15.75" thickBot="1" x14ac:dyDescent="0.3">
      <c r="A318" s="14" t="s">
        <v>352</v>
      </c>
      <c r="B318" s="15">
        <v>0.2</v>
      </c>
      <c r="C318" s="16">
        <v>0.3</v>
      </c>
    </row>
    <row r="319" spans="1:3" ht="15.75" thickBot="1" x14ac:dyDescent="0.3">
      <c r="A319" s="14" t="s">
        <v>353</v>
      </c>
      <c r="B319" s="15">
        <v>0.2</v>
      </c>
      <c r="C319" s="16">
        <v>0.3</v>
      </c>
    </row>
    <row r="320" spans="1:3" ht="15.75" thickBot="1" x14ac:dyDescent="0.3">
      <c r="A320" s="14" t="s">
        <v>354</v>
      </c>
      <c r="B320" s="15">
        <v>0.2</v>
      </c>
      <c r="C320" s="16">
        <v>0.3</v>
      </c>
    </row>
    <row r="321" spans="1:3" ht="15.75" thickBot="1" x14ac:dyDescent="0.3">
      <c r="A321" s="14" t="s">
        <v>355</v>
      </c>
      <c r="B321" s="15">
        <v>0.2</v>
      </c>
      <c r="C321" s="16">
        <v>0.3</v>
      </c>
    </row>
    <row r="322" spans="1:3" ht="15.75" thickBot="1" x14ac:dyDescent="0.3">
      <c r="A322" s="14" t="s">
        <v>356</v>
      </c>
      <c r="B322" s="15">
        <v>0.2</v>
      </c>
      <c r="C322" s="16">
        <v>0.3</v>
      </c>
    </row>
    <row r="323" spans="1:3" ht="15.75" thickBot="1" x14ac:dyDescent="0.3">
      <c r="A323" s="14" t="s">
        <v>357</v>
      </c>
      <c r="B323" s="15">
        <v>0.2</v>
      </c>
      <c r="C323" s="16">
        <v>0.3</v>
      </c>
    </row>
    <row r="324" spans="1:3" ht="15.75" thickBot="1" x14ac:dyDescent="0.3">
      <c r="A324" s="14" t="s">
        <v>358</v>
      </c>
      <c r="B324" s="15">
        <v>0.2</v>
      </c>
      <c r="C324" s="16">
        <v>0.3</v>
      </c>
    </row>
    <row r="325" spans="1:3" ht="15.75" thickBot="1" x14ac:dyDescent="0.3">
      <c r="A325" s="14" t="s">
        <v>359</v>
      </c>
      <c r="B325" s="15">
        <v>0.2</v>
      </c>
      <c r="C325" s="16">
        <v>0.3</v>
      </c>
    </row>
    <row r="326" spans="1:3" ht="15.75" thickBot="1" x14ac:dyDescent="0.3">
      <c r="A326" s="14" t="s">
        <v>360</v>
      </c>
      <c r="B326" s="15">
        <v>0.2</v>
      </c>
      <c r="C326" s="16">
        <v>0.3</v>
      </c>
    </row>
    <row r="327" spans="1:3" ht="15.75" thickBot="1" x14ac:dyDescent="0.3">
      <c r="A327" s="14" t="s">
        <v>361</v>
      </c>
      <c r="B327" s="15">
        <v>0.2</v>
      </c>
      <c r="C327" s="16">
        <v>0.3</v>
      </c>
    </row>
    <row r="328" spans="1:3" ht="15.75" thickBot="1" x14ac:dyDescent="0.3">
      <c r="A328" s="14" t="s">
        <v>362</v>
      </c>
      <c r="B328" s="15">
        <v>0.2</v>
      </c>
      <c r="C328" s="16">
        <v>0.3</v>
      </c>
    </row>
    <row r="329" spans="1:3" ht="15.75" thickBot="1" x14ac:dyDescent="0.3">
      <c r="A329" s="14" t="s">
        <v>363</v>
      </c>
      <c r="B329" s="15">
        <v>0.22</v>
      </c>
      <c r="C329" s="16">
        <v>0.3</v>
      </c>
    </row>
    <row r="330" spans="1:3" ht="15.75" thickBot="1" x14ac:dyDescent="0.3">
      <c r="A330" s="14" t="s">
        <v>364</v>
      </c>
      <c r="B330" s="15">
        <v>0.2</v>
      </c>
      <c r="C330" s="16">
        <v>0.3</v>
      </c>
    </row>
    <row r="331" spans="1:3" ht="15.75" thickBot="1" x14ac:dyDescent="0.3">
      <c r="A331" s="14" t="s">
        <v>365</v>
      </c>
      <c r="B331" s="15">
        <v>0.2</v>
      </c>
      <c r="C331" s="16">
        <v>0.3</v>
      </c>
    </row>
    <row r="332" spans="1:3" ht="15.75" thickBot="1" x14ac:dyDescent="0.3">
      <c r="A332" s="14" t="s">
        <v>366</v>
      </c>
      <c r="B332" s="15">
        <v>0.2</v>
      </c>
      <c r="C332" s="16">
        <v>0.3</v>
      </c>
    </row>
    <row r="333" spans="1:3" ht="15.75" thickBot="1" x14ac:dyDescent="0.3">
      <c r="A333" s="14" t="s">
        <v>367</v>
      </c>
      <c r="B333" s="15">
        <v>0.2</v>
      </c>
      <c r="C333" s="16">
        <v>0.27</v>
      </c>
    </row>
    <row r="334" spans="1:3" ht="15.75" thickBot="1" x14ac:dyDescent="0.3">
      <c r="A334" s="14" t="s">
        <v>368</v>
      </c>
      <c r="B334" s="15">
        <v>0.2</v>
      </c>
      <c r="C334" s="16">
        <v>0.3</v>
      </c>
    </row>
    <row r="335" spans="1:3" ht="15.75" thickBot="1" x14ac:dyDescent="0.3">
      <c r="A335" s="14" t="s">
        <v>369</v>
      </c>
      <c r="B335" s="15">
        <v>0.2</v>
      </c>
      <c r="C335" s="16">
        <v>0.3</v>
      </c>
    </row>
    <row r="336" spans="1:3" ht="15.75" thickBot="1" x14ac:dyDescent="0.3">
      <c r="A336" s="14" t="s">
        <v>370</v>
      </c>
      <c r="B336" s="15">
        <v>0.2</v>
      </c>
      <c r="C336" s="16">
        <v>0.3</v>
      </c>
    </row>
    <row r="337" spans="1:3" ht="15.75" thickBot="1" x14ac:dyDescent="0.3">
      <c r="A337" s="14" t="s">
        <v>371</v>
      </c>
      <c r="B337" s="15">
        <v>0.2</v>
      </c>
      <c r="C337" s="16">
        <v>0.3</v>
      </c>
    </row>
    <row r="338" spans="1:3" ht="15.75" thickBot="1" x14ac:dyDescent="0.3">
      <c r="A338" s="14" t="s">
        <v>372</v>
      </c>
      <c r="B338" s="15">
        <v>0.2</v>
      </c>
      <c r="C338" s="16">
        <v>0.3</v>
      </c>
    </row>
    <row r="339" spans="1:3" ht="15.75" thickBot="1" x14ac:dyDescent="0.3">
      <c r="A339" s="14" t="s">
        <v>373</v>
      </c>
      <c r="B339" s="15">
        <v>0.2</v>
      </c>
      <c r="C339" s="16">
        <v>0.3</v>
      </c>
    </row>
    <row r="340" spans="1:3" ht="15.75" thickBot="1" x14ac:dyDescent="0.3">
      <c r="A340" s="14" t="s">
        <v>374</v>
      </c>
      <c r="B340" s="15">
        <v>0.2</v>
      </c>
      <c r="C340" s="16">
        <v>0.3</v>
      </c>
    </row>
    <row r="341" spans="1:3" ht="15.75" thickBot="1" x14ac:dyDescent="0.3">
      <c r="A341" s="14" t="s">
        <v>375</v>
      </c>
      <c r="B341" s="15">
        <v>0.2</v>
      </c>
      <c r="C341" s="16">
        <v>0.3</v>
      </c>
    </row>
    <row r="342" spans="1:3" ht="15.75" thickBot="1" x14ac:dyDescent="0.3">
      <c r="A342" s="14" t="s">
        <v>376</v>
      </c>
      <c r="B342" s="15">
        <v>0.2</v>
      </c>
      <c r="C342" s="16">
        <v>0.3</v>
      </c>
    </row>
    <row r="343" spans="1:3" ht="15.75" thickBot="1" x14ac:dyDescent="0.3">
      <c r="A343" s="14" t="s">
        <v>377</v>
      </c>
      <c r="B343" s="15">
        <v>0.2</v>
      </c>
      <c r="C343" s="16">
        <v>0.3</v>
      </c>
    </row>
    <row r="344" spans="1:3" ht="15.75" thickBot="1" x14ac:dyDescent="0.3">
      <c r="A344" s="14" t="s">
        <v>378</v>
      </c>
      <c r="B344" s="15">
        <v>0.2</v>
      </c>
      <c r="C344" s="16">
        <v>0.3</v>
      </c>
    </row>
    <row r="345" spans="1:3" ht="15.75" thickBot="1" x14ac:dyDescent="0.3">
      <c r="A345" s="14" t="s">
        <v>379</v>
      </c>
      <c r="B345" s="15">
        <v>0.2</v>
      </c>
      <c r="C345" s="16">
        <v>0.3</v>
      </c>
    </row>
    <row r="346" spans="1:3" ht="15.75" thickBot="1" x14ac:dyDescent="0.3">
      <c r="A346" s="14" t="s">
        <v>380</v>
      </c>
      <c r="B346" s="15">
        <v>0.2</v>
      </c>
      <c r="C346" s="16">
        <v>0.3</v>
      </c>
    </row>
    <row r="347" spans="1:3" ht="15.75" thickBot="1" x14ac:dyDescent="0.3">
      <c r="A347" s="14" t="s">
        <v>381</v>
      </c>
      <c r="B347" s="15">
        <v>0.18</v>
      </c>
      <c r="C347" s="16">
        <v>0.3</v>
      </c>
    </row>
    <row r="348" spans="1:3" ht="15.75" thickBot="1" x14ac:dyDescent="0.3">
      <c r="A348" s="14" t="s">
        <v>382</v>
      </c>
      <c r="B348" s="15">
        <v>0.2</v>
      </c>
      <c r="C348" s="16">
        <v>0.3</v>
      </c>
    </row>
    <row r="349" spans="1:3" ht="15.75" thickBot="1" x14ac:dyDescent="0.3">
      <c r="A349" s="14" t="s">
        <v>383</v>
      </c>
      <c r="B349" s="15">
        <v>0.2</v>
      </c>
      <c r="C349" s="16">
        <v>0.3</v>
      </c>
    </row>
    <row r="350" spans="1:3" ht="15.75" thickBot="1" x14ac:dyDescent="0.3">
      <c r="A350" s="14" t="s">
        <v>384</v>
      </c>
      <c r="B350" s="15">
        <v>0.2</v>
      </c>
      <c r="C350" s="16">
        <v>0.3</v>
      </c>
    </row>
    <row r="351" spans="1:3" ht="15.75" thickBot="1" x14ac:dyDescent="0.3">
      <c r="A351" s="14" t="s">
        <v>385</v>
      </c>
      <c r="B351" s="15">
        <v>0.2</v>
      </c>
      <c r="C351" s="16">
        <v>0.3</v>
      </c>
    </row>
    <row r="352" spans="1:3" ht="15.75" thickBot="1" x14ac:dyDescent="0.3">
      <c r="A352" s="14" t="s">
        <v>386</v>
      </c>
      <c r="B352" s="15">
        <v>0.2</v>
      </c>
      <c r="C352" s="16">
        <v>0.3</v>
      </c>
    </row>
    <row r="353" spans="1:3" ht="15.75" thickBot="1" x14ac:dyDescent="0.3">
      <c r="A353" s="14" t="s">
        <v>387</v>
      </c>
      <c r="B353" s="15">
        <v>0.2</v>
      </c>
      <c r="C353" s="16">
        <v>0.3</v>
      </c>
    </row>
    <row r="354" spans="1:3" ht="15.75" thickBot="1" x14ac:dyDescent="0.3">
      <c r="A354" s="14" t="s">
        <v>388</v>
      </c>
      <c r="B354" s="15">
        <v>0.2</v>
      </c>
      <c r="C354" s="16">
        <v>0.3</v>
      </c>
    </row>
    <row r="355" spans="1:3" ht="15.75" thickBot="1" x14ac:dyDescent="0.3">
      <c r="A355" s="14" t="s">
        <v>389</v>
      </c>
      <c r="B355" s="15">
        <v>0.2</v>
      </c>
      <c r="C355" s="16">
        <v>0.3</v>
      </c>
    </row>
    <row r="356" spans="1:3" ht="15.75" thickBot="1" x14ac:dyDescent="0.3">
      <c r="A356" s="14" t="s">
        <v>390</v>
      </c>
      <c r="B356" s="15">
        <v>0.2</v>
      </c>
      <c r="C356" s="16">
        <v>0.3</v>
      </c>
    </row>
    <row r="357" spans="1:3" ht="15.75" thickBot="1" x14ac:dyDescent="0.3">
      <c r="A357" s="14" t="s">
        <v>391</v>
      </c>
      <c r="B357" s="15">
        <v>0.2</v>
      </c>
      <c r="C357" s="16">
        <v>0.3</v>
      </c>
    </row>
    <row r="358" spans="1:3" ht="15.75" thickBot="1" x14ac:dyDescent="0.3">
      <c r="A358" s="14" t="s">
        <v>392</v>
      </c>
      <c r="B358" s="15">
        <v>0.2</v>
      </c>
      <c r="C358" s="16">
        <v>0.3</v>
      </c>
    </row>
    <row r="359" spans="1:3" ht="15.75" thickBot="1" x14ac:dyDescent="0.3">
      <c r="A359" s="14" t="s">
        <v>393</v>
      </c>
      <c r="B359" s="15">
        <v>0.2</v>
      </c>
      <c r="C359" s="16">
        <v>0.3</v>
      </c>
    </row>
    <row r="360" spans="1:3" ht="15.75" thickBot="1" x14ac:dyDescent="0.3">
      <c r="A360" s="14" t="s">
        <v>394</v>
      </c>
      <c r="B360" s="15">
        <v>0.18</v>
      </c>
      <c r="C360" s="16">
        <v>0.3</v>
      </c>
    </row>
    <row r="361" spans="1:3" ht="15.75" thickBot="1" x14ac:dyDescent="0.3">
      <c r="A361" s="14" t="s">
        <v>395</v>
      </c>
      <c r="B361" s="15">
        <v>0.2</v>
      </c>
      <c r="C361" s="16">
        <v>0.3</v>
      </c>
    </row>
    <row r="362" spans="1:3" ht="15.75" thickBot="1" x14ac:dyDescent="0.3">
      <c r="A362" s="14" t="s">
        <v>396</v>
      </c>
      <c r="B362" s="15">
        <v>0.2</v>
      </c>
      <c r="C362" s="16">
        <v>0.3</v>
      </c>
    </row>
    <row r="363" spans="1:3" ht="15.75" thickBot="1" x14ac:dyDescent="0.3">
      <c r="A363" s="14" t="s">
        <v>397</v>
      </c>
      <c r="B363" s="15">
        <v>0.2</v>
      </c>
      <c r="C363" s="16">
        <v>0.3</v>
      </c>
    </row>
    <row r="364" spans="1:3" ht="15.75" thickBot="1" x14ac:dyDescent="0.3">
      <c r="A364" s="14" t="s">
        <v>398</v>
      </c>
      <c r="B364" s="15">
        <v>0.21</v>
      </c>
      <c r="C364" s="16">
        <v>0.31</v>
      </c>
    </row>
    <row r="365" spans="1:3" ht="15.75" thickBot="1" x14ac:dyDescent="0.3">
      <c r="A365" s="14" t="s">
        <v>399</v>
      </c>
      <c r="B365" s="15">
        <v>0.2</v>
      </c>
      <c r="C365" s="16">
        <v>0.3</v>
      </c>
    </row>
    <row r="366" spans="1:3" ht="15.75" thickBot="1" x14ac:dyDescent="0.3">
      <c r="A366" s="14" t="s">
        <v>400</v>
      </c>
      <c r="B366" s="15">
        <v>0.2</v>
      </c>
      <c r="C366" s="16">
        <v>0.3</v>
      </c>
    </row>
    <row r="367" spans="1:3" ht="15.75" thickBot="1" x14ac:dyDescent="0.3">
      <c r="A367" s="14" t="s">
        <v>401</v>
      </c>
      <c r="B367" s="15">
        <v>0.2</v>
      </c>
      <c r="C367" s="16">
        <v>0.3</v>
      </c>
    </row>
    <row r="368" spans="1:3" ht="15.75" thickBot="1" x14ac:dyDescent="0.3">
      <c r="A368" s="14" t="s">
        <v>402</v>
      </c>
      <c r="B368" s="15">
        <v>0.2</v>
      </c>
      <c r="C368" s="16">
        <v>0.3</v>
      </c>
    </row>
    <row r="369" spans="1:3" ht="15.75" thickBot="1" x14ac:dyDescent="0.3">
      <c r="A369" s="14" t="s">
        <v>403</v>
      </c>
      <c r="B369" s="15">
        <v>0.2</v>
      </c>
      <c r="C369" s="16">
        <v>0.3</v>
      </c>
    </row>
    <row r="370" spans="1:3" ht="15.75" thickBot="1" x14ac:dyDescent="0.3">
      <c r="A370" s="14" t="s">
        <v>404</v>
      </c>
      <c r="B370" s="15">
        <v>0.2</v>
      </c>
      <c r="C370" s="16">
        <v>0.3</v>
      </c>
    </row>
    <row r="371" spans="1:3" ht="15.75" thickBot="1" x14ac:dyDescent="0.3">
      <c r="A371" s="14" t="s">
        <v>405</v>
      </c>
      <c r="B371" s="15">
        <v>0.2</v>
      </c>
      <c r="C371" s="16">
        <v>0.3</v>
      </c>
    </row>
    <row r="372" spans="1:3" ht="15.75" thickBot="1" x14ac:dyDescent="0.3">
      <c r="A372" s="14" t="s">
        <v>406</v>
      </c>
      <c r="B372" s="15">
        <v>0.2</v>
      </c>
      <c r="C372" s="16">
        <v>0.3</v>
      </c>
    </row>
    <row r="373" spans="1:3" ht="15.75" thickBot="1" x14ac:dyDescent="0.3">
      <c r="A373" s="14" t="s">
        <v>407</v>
      </c>
      <c r="B373" s="15">
        <v>0.17</v>
      </c>
      <c r="C373" s="16">
        <v>0.3</v>
      </c>
    </row>
    <row r="374" spans="1:3" ht="15.75" thickBot="1" x14ac:dyDescent="0.3">
      <c r="A374" s="14" t="s">
        <v>408</v>
      </c>
      <c r="B374" s="15">
        <v>0.2</v>
      </c>
      <c r="C374" s="16">
        <v>0.3</v>
      </c>
    </row>
    <row r="375" spans="1:3" ht="15.75" thickBot="1" x14ac:dyDescent="0.3">
      <c r="A375" s="14" t="s">
        <v>409</v>
      </c>
      <c r="B375" s="15">
        <v>0.2</v>
      </c>
      <c r="C375" s="16">
        <v>0.3</v>
      </c>
    </row>
    <row r="376" spans="1:3" ht="15.75" thickBot="1" x14ac:dyDescent="0.3">
      <c r="A376" s="14" t="s">
        <v>410</v>
      </c>
      <c r="B376" s="15">
        <v>0.2</v>
      </c>
      <c r="C376" s="16">
        <v>0.3</v>
      </c>
    </row>
    <row r="377" spans="1:3" ht="15.75" thickBot="1" x14ac:dyDescent="0.3">
      <c r="A377" s="14" t="s">
        <v>411</v>
      </c>
      <c r="B377" s="15">
        <v>0.21</v>
      </c>
      <c r="C377" s="16">
        <v>0.31</v>
      </c>
    </row>
    <row r="378" spans="1:3" ht="15.75" thickBot="1" x14ac:dyDescent="0.3">
      <c r="A378" s="14" t="s">
        <v>412</v>
      </c>
      <c r="B378" s="15">
        <v>0.15</v>
      </c>
      <c r="C378" s="16">
        <v>0.3</v>
      </c>
    </row>
    <row r="379" spans="1:3" ht="15.75" thickBot="1" x14ac:dyDescent="0.3">
      <c r="A379" s="14" t="s">
        <v>413</v>
      </c>
      <c r="B379" s="15">
        <v>0.2</v>
      </c>
      <c r="C379" s="16">
        <v>0.3</v>
      </c>
    </row>
    <row r="380" spans="1:3" ht="15.75" thickBot="1" x14ac:dyDescent="0.3">
      <c r="A380" s="14" t="s">
        <v>414</v>
      </c>
      <c r="B380" s="15">
        <v>0.2</v>
      </c>
      <c r="C380" s="16">
        <v>0.3</v>
      </c>
    </row>
    <row r="381" spans="1:3" ht="15.75" thickBot="1" x14ac:dyDescent="0.3">
      <c r="A381" s="14" t="s">
        <v>415</v>
      </c>
      <c r="B381" s="15">
        <v>0.2</v>
      </c>
      <c r="C381" s="16">
        <v>0.3</v>
      </c>
    </row>
    <row r="382" spans="1:3" ht="15.75" thickBot="1" x14ac:dyDescent="0.3">
      <c r="A382" s="14" t="s">
        <v>416</v>
      </c>
      <c r="B382" s="15">
        <v>0.2</v>
      </c>
      <c r="C382" s="16">
        <v>0.3</v>
      </c>
    </row>
    <row r="383" spans="1:3" ht="15.75" thickBot="1" x14ac:dyDescent="0.3">
      <c r="A383" s="14" t="s">
        <v>417</v>
      </c>
      <c r="B383" s="15">
        <v>0.2</v>
      </c>
      <c r="C383" s="16">
        <v>0.3</v>
      </c>
    </row>
    <row r="384" spans="1:3" ht="15.75" thickBot="1" x14ac:dyDescent="0.3">
      <c r="A384" s="14" t="s">
        <v>418</v>
      </c>
      <c r="B384" s="15">
        <v>0.2</v>
      </c>
      <c r="C384" s="16">
        <v>0.3</v>
      </c>
    </row>
    <row r="385" spans="1:3" ht="15.75" thickBot="1" x14ac:dyDescent="0.3">
      <c r="A385" s="14" t="s">
        <v>419</v>
      </c>
      <c r="B385" s="15">
        <v>0.2</v>
      </c>
      <c r="C385" s="16">
        <v>0.3</v>
      </c>
    </row>
    <row r="386" spans="1:3" ht="15.75" thickBot="1" x14ac:dyDescent="0.3">
      <c r="A386" s="14" t="s">
        <v>420</v>
      </c>
      <c r="B386" s="15">
        <v>0.2</v>
      </c>
      <c r="C386" s="16">
        <v>0.3</v>
      </c>
    </row>
    <row r="387" spans="1:3" ht="15.75" thickBot="1" x14ac:dyDescent="0.3">
      <c r="A387" s="14" t="s">
        <v>421</v>
      </c>
      <c r="B387" s="15">
        <v>0.2</v>
      </c>
      <c r="C387" s="16">
        <v>0.3</v>
      </c>
    </row>
    <row r="388" spans="1:3" ht="15.75" thickBot="1" x14ac:dyDescent="0.3">
      <c r="A388" s="14" t="s">
        <v>422</v>
      </c>
      <c r="B388" s="15">
        <v>0.2</v>
      </c>
      <c r="C388" s="16">
        <v>0.3</v>
      </c>
    </row>
    <row r="389" spans="1:3" ht="15.75" thickBot="1" x14ac:dyDescent="0.3">
      <c r="A389" s="14" t="s">
        <v>423</v>
      </c>
      <c r="B389" s="15">
        <v>0.2</v>
      </c>
      <c r="C389" s="16">
        <v>0.3</v>
      </c>
    </row>
    <row r="390" spans="1:3" ht="15.75" thickBot="1" x14ac:dyDescent="0.3">
      <c r="A390" s="14" t="s">
        <v>424</v>
      </c>
      <c r="B390" s="15">
        <v>0.2</v>
      </c>
      <c r="C390" s="16">
        <v>0.3</v>
      </c>
    </row>
    <row r="391" spans="1:3" ht="15.75" thickBot="1" x14ac:dyDescent="0.3">
      <c r="A391" s="14" t="s">
        <v>425</v>
      </c>
      <c r="B391" s="15">
        <v>0.22</v>
      </c>
      <c r="C391" s="16">
        <v>0.32</v>
      </c>
    </row>
    <row r="392" spans="1:3" ht="15.75" thickBot="1" x14ac:dyDescent="0.3">
      <c r="A392" s="14" t="s">
        <v>426</v>
      </c>
      <c r="B392" s="15">
        <v>0.2</v>
      </c>
      <c r="C392" s="16">
        <v>0.3</v>
      </c>
    </row>
    <row r="393" spans="1:3" ht="15.75" thickBot="1" x14ac:dyDescent="0.3">
      <c r="A393" s="14" t="s">
        <v>427</v>
      </c>
      <c r="B393" s="15">
        <v>0.2</v>
      </c>
      <c r="C393" s="16">
        <v>0.3</v>
      </c>
    </row>
    <row r="394" spans="1:3" ht="15.75" thickBot="1" x14ac:dyDescent="0.3">
      <c r="A394" s="14" t="s">
        <v>428</v>
      </c>
      <c r="B394" s="15">
        <v>0.2</v>
      </c>
      <c r="C394" s="16">
        <v>0.3</v>
      </c>
    </row>
    <row r="395" spans="1:3" ht="15.75" thickBot="1" x14ac:dyDescent="0.3">
      <c r="A395" s="14" t="s">
        <v>429</v>
      </c>
      <c r="B395" s="15">
        <v>0.2</v>
      </c>
      <c r="C395" s="16">
        <v>0.3</v>
      </c>
    </row>
    <row r="396" spans="1:3" ht="15.75" thickBot="1" x14ac:dyDescent="0.3">
      <c r="A396" s="14" t="s">
        <v>430</v>
      </c>
      <c r="B396" s="15">
        <v>0.2</v>
      </c>
      <c r="C396" s="16">
        <v>0.3</v>
      </c>
    </row>
    <row r="397" spans="1:3" ht="15.75" thickBot="1" x14ac:dyDescent="0.3">
      <c r="A397" s="14" t="s">
        <v>431</v>
      </c>
      <c r="B397" s="15">
        <v>0.2</v>
      </c>
      <c r="C397" s="16">
        <v>0.3</v>
      </c>
    </row>
    <row r="398" spans="1:3" ht="15.75" thickBot="1" x14ac:dyDescent="0.3">
      <c r="A398" s="14" t="s">
        <v>432</v>
      </c>
      <c r="B398" s="15">
        <v>0.2</v>
      </c>
      <c r="C398" s="16">
        <v>0.3</v>
      </c>
    </row>
    <row r="399" spans="1:3" ht="15.75" thickBot="1" x14ac:dyDescent="0.3">
      <c r="A399" s="14" t="s">
        <v>433</v>
      </c>
      <c r="B399" s="15">
        <v>0.2</v>
      </c>
      <c r="C399" s="16">
        <v>0.3</v>
      </c>
    </row>
    <row r="400" spans="1:3" ht="15.75" thickBot="1" x14ac:dyDescent="0.3">
      <c r="A400" s="14" t="s">
        <v>434</v>
      </c>
      <c r="B400" s="15">
        <v>0.18</v>
      </c>
      <c r="C400" s="16">
        <v>0.27</v>
      </c>
    </row>
    <row r="401" spans="1:3" ht="15.75" thickBot="1" x14ac:dyDescent="0.3">
      <c r="A401" s="14" t="s">
        <v>435</v>
      </c>
      <c r="B401" s="15">
        <v>0.2</v>
      </c>
      <c r="C401" s="16">
        <v>0.3</v>
      </c>
    </row>
    <row r="402" spans="1:3" ht="15.75" thickBot="1" x14ac:dyDescent="0.3">
      <c r="A402" s="14" t="s">
        <v>436</v>
      </c>
      <c r="B402" s="15">
        <v>0.2</v>
      </c>
      <c r="C402" s="16">
        <v>0.3</v>
      </c>
    </row>
    <row r="403" spans="1:3" ht="15.75" thickBot="1" x14ac:dyDescent="0.3">
      <c r="A403" s="14" t="s">
        <v>437</v>
      </c>
      <c r="B403" s="15">
        <v>0.2</v>
      </c>
      <c r="C403" s="16">
        <v>0.3</v>
      </c>
    </row>
    <row r="404" spans="1:3" ht="15.75" thickBot="1" x14ac:dyDescent="0.3">
      <c r="A404" s="14" t="s">
        <v>438</v>
      </c>
      <c r="B404" s="15">
        <v>0.2</v>
      </c>
      <c r="C404" s="16">
        <v>0.3</v>
      </c>
    </row>
    <row r="405" spans="1:3" ht="15.75" thickBot="1" x14ac:dyDescent="0.3">
      <c r="A405" s="14" t="s">
        <v>439</v>
      </c>
      <c r="B405" s="15">
        <v>0.2</v>
      </c>
      <c r="C405" s="16">
        <v>0.3</v>
      </c>
    </row>
    <row r="406" spans="1:3" ht="15.75" thickBot="1" x14ac:dyDescent="0.3">
      <c r="A406" s="14" t="s">
        <v>440</v>
      </c>
      <c r="B406" s="15">
        <v>0.2</v>
      </c>
      <c r="C406" s="16">
        <v>0.3</v>
      </c>
    </row>
    <row r="407" spans="1:3" ht="15.75" thickBot="1" x14ac:dyDescent="0.3">
      <c r="A407" s="14" t="s">
        <v>441</v>
      </c>
      <c r="B407" s="15">
        <v>0.18</v>
      </c>
      <c r="C407" s="16">
        <v>0.28000000000000003</v>
      </c>
    </row>
    <row r="408" spans="1:3" ht="15.75" thickBot="1" x14ac:dyDescent="0.3">
      <c r="A408" s="14" t="s">
        <v>442</v>
      </c>
      <c r="B408" s="15">
        <v>0.2</v>
      </c>
      <c r="C408" s="16">
        <v>0.3</v>
      </c>
    </row>
    <row r="409" spans="1:3" ht="15.75" thickBot="1" x14ac:dyDescent="0.3">
      <c r="A409" s="14" t="s">
        <v>443</v>
      </c>
      <c r="B409" s="15">
        <v>0.2</v>
      </c>
      <c r="C409" s="16">
        <v>0.3</v>
      </c>
    </row>
    <row r="410" spans="1:3" ht="15.75" thickBot="1" x14ac:dyDescent="0.3">
      <c r="A410" s="14" t="s">
        <v>444</v>
      </c>
      <c r="B410" s="15">
        <v>0.18</v>
      </c>
      <c r="C410" s="16">
        <v>0.3</v>
      </c>
    </row>
    <row r="411" spans="1:3" ht="15.75" thickBot="1" x14ac:dyDescent="0.3">
      <c r="A411" s="14" t="s">
        <v>445</v>
      </c>
      <c r="B411" s="15">
        <v>0.2</v>
      </c>
      <c r="C411" s="16">
        <v>0.3</v>
      </c>
    </row>
    <row r="412" spans="1:3" ht="15.75" thickBot="1" x14ac:dyDescent="0.3">
      <c r="A412" s="14" t="s">
        <v>446</v>
      </c>
      <c r="B412" s="15">
        <v>0.216</v>
      </c>
      <c r="C412" s="16">
        <v>0.316</v>
      </c>
    </row>
    <row r="413" spans="1:3" ht="15.75" thickBot="1" x14ac:dyDescent="0.3">
      <c r="A413" s="14" t="s">
        <v>447</v>
      </c>
      <c r="B413" s="15">
        <v>0.2</v>
      </c>
      <c r="C413" s="16">
        <v>0.3</v>
      </c>
    </row>
    <row r="414" spans="1:3" ht="15.75" thickBot="1" x14ac:dyDescent="0.3">
      <c r="A414" s="14" t="s">
        <v>448</v>
      </c>
      <c r="B414" s="15">
        <v>0.2</v>
      </c>
      <c r="C414" s="16">
        <v>0.3</v>
      </c>
    </row>
    <row r="415" spans="1:3" ht="15.75" thickBot="1" x14ac:dyDescent="0.3">
      <c r="A415" s="14" t="s">
        <v>449</v>
      </c>
      <c r="B415" s="15">
        <v>0.2</v>
      </c>
      <c r="C415" s="16">
        <v>0.3</v>
      </c>
    </row>
    <row r="416" spans="1:3" ht="15.75" thickBot="1" x14ac:dyDescent="0.3">
      <c r="A416" s="14" t="s">
        <v>450</v>
      </c>
      <c r="B416" s="15">
        <v>0.2</v>
      </c>
      <c r="C416" s="16">
        <v>0.3</v>
      </c>
    </row>
    <row r="417" spans="1:3" ht="15.75" thickBot="1" x14ac:dyDescent="0.3">
      <c r="A417" s="14" t="s">
        <v>451</v>
      </c>
      <c r="B417" s="15">
        <v>0.2</v>
      </c>
      <c r="C417" s="16">
        <v>0.3</v>
      </c>
    </row>
    <row r="418" spans="1:3" ht="15.75" thickBot="1" x14ac:dyDescent="0.3">
      <c r="A418" s="14" t="s">
        <v>452</v>
      </c>
      <c r="B418" s="15">
        <v>0.2</v>
      </c>
      <c r="C418" s="16">
        <v>0.3</v>
      </c>
    </row>
    <row r="419" spans="1:3" ht="15.75" thickBot="1" x14ac:dyDescent="0.3">
      <c r="A419" s="14" t="s">
        <v>453</v>
      </c>
      <c r="B419" s="15">
        <v>0.2</v>
      </c>
      <c r="C419" s="16">
        <v>0.3</v>
      </c>
    </row>
    <row r="420" spans="1:3" ht="15.75" thickBot="1" x14ac:dyDescent="0.3">
      <c r="A420" s="14" t="s">
        <v>454</v>
      </c>
      <c r="B420" s="15">
        <v>0.2</v>
      </c>
      <c r="C420" s="16">
        <v>0.3</v>
      </c>
    </row>
    <row r="421" spans="1:3" ht="15.75" thickBot="1" x14ac:dyDescent="0.3">
      <c r="A421" s="14" t="s">
        <v>455</v>
      </c>
      <c r="B421" s="15">
        <v>0.2</v>
      </c>
      <c r="C421" s="16">
        <v>0.3</v>
      </c>
    </row>
    <row r="422" spans="1:3" ht="15.75" thickBot="1" x14ac:dyDescent="0.3">
      <c r="A422" s="14" t="s">
        <v>456</v>
      </c>
      <c r="B422" s="15">
        <v>0.2</v>
      </c>
      <c r="C422" s="16">
        <v>0.3</v>
      </c>
    </row>
    <row r="423" spans="1:3" ht="15.75" thickBot="1" x14ac:dyDescent="0.3">
      <c r="A423" s="14" t="s">
        <v>457</v>
      </c>
      <c r="B423" s="15">
        <v>0.2</v>
      </c>
      <c r="C423" s="16">
        <v>0.3</v>
      </c>
    </row>
    <row r="424" spans="1:3" ht="15.75" thickBot="1" x14ac:dyDescent="0.3">
      <c r="A424" s="14" t="s">
        <v>458</v>
      </c>
      <c r="B424" s="15">
        <v>0.215</v>
      </c>
      <c r="C424" s="16">
        <v>0.32</v>
      </c>
    </row>
    <row r="425" spans="1:3" ht="15.75" thickBot="1" x14ac:dyDescent="0.3">
      <c r="A425" s="14" t="s">
        <v>459</v>
      </c>
      <c r="B425" s="15">
        <v>0.2</v>
      </c>
      <c r="C425" s="16">
        <v>0.3</v>
      </c>
    </row>
    <row r="426" spans="1:3" ht="15.75" thickBot="1" x14ac:dyDescent="0.3">
      <c r="A426" s="14" t="s">
        <v>460</v>
      </c>
      <c r="B426" s="15">
        <v>0.2</v>
      </c>
      <c r="C426" s="16">
        <v>0.3</v>
      </c>
    </row>
    <row r="427" spans="1:3" ht="15.75" thickBot="1" x14ac:dyDescent="0.3">
      <c r="A427" s="14" t="s">
        <v>461</v>
      </c>
      <c r="B427" s="15">
        <v>0.2</v>
      </c>
      <c r="C427" s="16">
        <v>0.3</v>
      </c>
    </row>
    <row r="428" spans="1:3" ht="15.75" thickBot="1" x14ac:dyDescent="0.3">
      <c r="A428" s="14" t="s">
        <v>462</v>
      </c>
      <c r="B428" s="15">
        <v>0.2</v>
      </c>
      <c r="C428" s="16">
        <v>0.31</v>
      </c>
    </row>
    <row r="429" spans="1:3" ht="15.75" thickBot="1" x14ac:dyDescent="0.3">
      <c r="A429" s="14" t="s">
        <v>463</v>
      </c>
      <c r="B429" s="15">
        <v>0.15</v>
      </c>
      <c r="C429" s="16">
        <v>0.25</v>
      </c>
    </row>
    <row r="430" spans="1:3" ht="15.75" thickBot="1" x14ac:dyDescent="0.3">
      <c r="A430" s="14" t="s">
        <v>464</v>
      </c>
      <c r="B430" s="15">
        <v>0.2</v>
      </c>
      <c r="C430" s="16">
        <v>0.3</v>
      </c>
    </row>
    <row r="431" spans="1:3" ht="15.75" thickBot="1" x14ac:dyDescent="0.3">
      <c r="A431" s="14" t="s">
        <v>465</v>
      </c>
      <c r="B431" s="15">
        <v>0.2</v>
      </c>
      <c r="C431" s="16">
        <v>0.3</v>
      </c>
    </row>
    <row r="432" spans="1:3" ht="15.75" thickBot="1" x14ac:dyDescent="0.3">
      <c r="A432" s="14" t="s">
        <v>466</v>
      </c>
      <c r="B432" s="15">
        <v>0.2</v>
      </c>
      <c r="C432" s="16">
        <v>0.3</v>
      </c>
    </row>
    <row r="433" spans="1:3" ht="15.75" thickBot="1" x14ac:dyDescent="0.3">
      <c r="A433" s="14" t="s">
        <v>467</v>
      </c>
      <c r="B433" s="15">
        <v>0.2</v>
      </c>
      <c r="C433" s="16">
        <v>0.3</v>
      </c>
    </row>
    <row r="434" spans="1:3" ht="15.75" thickBot="1" x14ac:dyDescent="0.3">
      <c r="A434" s="14" t="s">
        <v>468</v>
      </c>
      <c r="B434" s="15">
        <v>0.2</v>
      </c>
      <c r="C434" s="16">
        <v>0.3</v>
      </c>
    </row>
    <row r="435" spans="1:3" ht="15.75" thickBot="1" x14ac:dyDescent="0.3">
      <c r="A435" s="14" t="s">
        <v>469</v>
      </c>
      <c r="B435" s="15">
        <v>0.2</v>
      </c>
      <c r="C435" s="16">
        <v>0.3</v>
      </c>
    </row>
    <row r="436" spans="1:3" ht="15.75" thickBot="1" x14ac:dyDescent="0.3">
      <c r="A436" s="14" t="s">
        <v>470</v>
      </c>
      <c r="B436" s="15">
        <v>0.2</v>
      </c>
      <c r="C436" s="16">
        <v>0.3</v>
      </c>
    </row>
    <row r="437" spans="1:3" ht="15.75" thickBot="1" x14ac:dyDescent="0.3">
      <c r="A437" s="14" t="s">
        <v>471</v>
      </c>
      <c r="B437" s="15">
        <v>0.2</v>
      </c>
      <c r="C437" s="16">
        <v>0.3</v>
      </c>
    </row>
    <row r="438" spans="1:3" ht="15.75" thickBot="1" x14ac:dyDescent="0.3">
      <c r="A438" s="14" t="s">
        <v>472</v>
      </c>
      <c r="B438" s="15">
        <v>0.2</v>
      </c>
      <c r="C438" s="16">
        <v>0.3</v>
      </c>
    </row>
    <row r="439" spans="1:3" ht="15.75" thickBot="1" x14ac:dyDescent="0.3">
      <c r="A439" s="14" t="s">
        <v>473</v>
      </c>
      <c r="B439" s="15">
        <v>0.2</v>
      </c>
      <c r="C439" s="16">
        <v>0.3</v>
      </c>
    </row>
    <row r="440" spans="1:3" ht="15.75" thickBot="1" x14ac:dyDescent="0.3">
      <c r="A440" s="14" t="s">
        <v>474</v>
      </c>
      <c r="B440" s="15">
        <v>0.2</v>
      </c>
      <c r="C440" s="16">
        <v>0.3</v>
      </c>
    </row>
    <row r="441" spans="1:3" ht="15.75" thickBot="1" x14ac:dyDescent="0.3">
      <c r="A441" s="14" t="s">
        <v>475</v>
      </c>
      <c r="B441" s="15">
        <v>0.2</v>
      </c>
      <c r="C441" s="16">
        <v>0.3</v>
      </c>
    </row>
    <row r="442" spans="1:3" ht="15.75" thickBot="1" x14ac:dyDescent="0.3">
      <c r="A442" s="14" t="s">
        <v>476</v>
      </c>
      <c r="B442" s="15">
        <v>0.20499999999999999</v>
      </c>
      <c r="C442" s="16">
        <v>0.31</v>
      </c>
    </row>
    <row r="443" spans="1:3" ht="15.75" thickBot="1" x14ac:dyDescent="0.3">
      <c r="A443" s="14" t="s">
        <v>477</v>
      </c>
      <c r="B443" s="15">
        <v>0.2</v>
      </c>
      <c r="C443" s="16">
        <v>0.3</v>
      </c>
    </row>
    <row r="444" spans="1:3" ht="15.75" thickBot="1" x14ac:dyDescent="0.3">
      <c r="A444" s="14" t="s">
        <v>478</v>
      </c>
      <c r="B444" s="15">
        <v>0.2</v>
      </c>
      <c r="C444" s="16">
        <v>0.3</v>
      </c>
    </row>
    <row r="445" spans="1:3" ht="15.75" thickBot="1" x14ac:dyDescent="0.3">
      <c r="A445" s="14" t="s">
        <v>479</v>
      </c>
      <c r="B445" s="15">
        <v>0.2</v>
      </c>
      <c r="C445" s="16">
        <v>0.3</v>
      </c>
    </row>
    <row r="446" spans="1:3" ht="15.75" thickBot="1" x14ac:dyDescent="0.3">
      <c r="A446" s="14" t="s">
        <v>480</v>
      </c>
      <c r="B446" s="15">
        <v>0.18</v>
      </c>
      <c r="C446" s="16">
        <v>0.28000000000000003</v>
      </c>
    </row>
    <row r="447" spans="1:3" ht="15.75" thickBot="1" x14ac:dyDescent="0.3">
      <c r="A447" s="14" t="s">
        <v>481</v>
      </c>
      <c r="B447" s="15">
        <v>0.2</v>
      </c>
      <c r="C447" s="16">
        <v>0.3</v>
      </c>
    </row>
    <row r="448" spans="1:3" ht="15.75" thickBot="1" x14ac:dyDescent="0.3">
      <c r="A448" s="14" t="s">
        <v>482</v>
      </c>
      <c r="B448" s="15">
        <v>0.2</v>
      </c>
      <c r="C448" s="16">
        <v>0.3</v>
      </c>
    </row>
    <row r="449" spans="1:3" ht="15.75" thickBot="1" x14ac:dyDescent="0.3">
      <c r="A449" s="14" t="s">
        <v>483</v>
      </c>
      <c r="B449" s="15">
        <v>0.2</v>
      </c>
      <c r="C449" s="16">
        <v>0.3</v>
      </c>
    </row>
    <row r="450" spans="1:3" ht="15.75" thickBot="1" x14ac:dyDescent="0.3">
      <c r="A450" s="14" t="s">
        <v>484</v>
      </c>
      <c r="B450" s="15">
        <v>0.2</v>
      </c>
      <c r="C450" s="16">
        <v>0.3</v>
      </c>
    </row>
    <row r="451" spans="1:3" ht="15.75" thickBot="1" x14ac:dyDescent="0.3">
      <c r="A451" s="14" t="s">
        <v>485</v>
      </c>
      <c r="B451" s="15">
        <v>0.2</v>
      </c>
      <c r="C451" s="16">
        <v>0.3</v>
      </c>
    </row>
    <row r="452" spans="1:3" ht="15.75" thickBot="1" x14ac:dyDescent="0.3">
      <c r="A452" s="14" t="s">
        <v>486</v>
      </c>
      <c r="B452" s="15">
        <v>0.2</v>
      </c>
      <c r="C452" s="16">
        <v>0.3</v>
      </c>
    </row>
    <row r="453" spans="1:3" ht="15.75" thickBot="1" x14ac:dyDescent="0.3">
      <c r="A453" s="14" t="s">
        <v>487</v>
      </c>
      <c r="B453" s="15">
        <v>0.2</v>
      </c>
      <c r="C453" s="16">
        <v>0.3</v>
      </c>
    </row>
    <row r="454" spans="1:3" ht="15.75" thickBot="1" x14ac:dyDescent="0.3">
      <c r="A454" s="14" t="s">
        <v>488</v>
      </c>
      <c r="B454" s="15">
        <v>0.2</v>
      </c>
      <c r="C454" s="16">
        <v>0.3</v>
      </c>
    </row>
    <row r="455" spans="1:3" ht="15.75" thickBot="1" x14ac:dyDescent="0.3">
      <c r="A455" s="14" t="s">
        <v>489</v>
      </c>
      <c r="B455" s="15">
        <v>0.2</v>
      </c>
      <c r="C455" s="16">
        <v>0.3</v>
      </c>
    </row>
    <row r="456" spans="1:3" ht="15.75" thickBot="1" x14ac:dyDescent="0.3">
      <c r="A456" s="14" t="s">
        <v>490</v>
      </c>
      <c r="B456" s="15">
        <v>0.2</v>
      </c>
      <c r="C456" s="16">
        <v>0.3</v>
      </c>
    </row>
    <row r="457" spans="1:3" ht="15.75" thickBot="1" x14ac:dyDescent="0.3">
      <c r="A457" s="14" t="s">
        <v>491</v>
      </c>
      <c r="B457" s="15">
        <v>0.2</v>
      </c>
      <c r="C457" s="16">
        <v>0.3</v>
      </c>
    </row>
    <row r="458" spans="1:3" ht="15.75" thickBot="1" x14ac:dyDescent="0.3">
      <c r="A458" s="14" t="s">
        <v>492</v>
      </c>
      <c r="B458" s="15">
        <v>0.2</v>
      </c>
      <c r="C458" s="16">
        <v>0.3</v>
      </c>
    </row>
    <row r="459" spans="1:3" ht="15.75" thickBot="1" x14ac:dyDescent="0.3">
      <c r="A459" s="14" t="s">
        <v>493</v>
      </c>
      <c r="B459" s="15">
        <v>0.2</v>
      </c>
      <c r="C459" s="16">
        <v>0.3</v>
      </c>
    </row>
    <row r="460" spans="1:3" ht="15.75" thickBot="1" x14ac:dyDescent="0.3">
      <c r="A460" s="14" t="s">
        <v>494</v>
      </c>
      <c r="B460" s="15">
        <v>0.2</v>
      </c>
      <c r="C460" s="16">
        <v>0.3</v>
      </c>
    </row>
    <row r="461" spans="1:3" ht="15.75" thickBot="1" x14ac:dyDescent="0.3">
      <c r="A461" s="14" t="s">
        <v>495</v>
      </c>
      <c r="B461" s="15">
        <v>0.2</v>
      </c>
      <c r="C461" s="16">
        <v>0.3</v>
      </c>
    </row>
    <row r="462" spans="1:3" ht="15.75" thickBot="1" x14ac:dyDescent="0.3">
      <c r="A462" s="14" t="s">
        <v>496</v>
      </c>
      <c r="B462" s="15">
        <v>0.2</v>
      </c>
      <c r="C462" s="16">
        <v>0.3</v>
      </c>
    </row>
    <row r="463" spans="1:3" ht="15.75" thickBot="1" x14ac:dyDescent="0.3">
      <c r="A463" s="14" t="s">
        <v>497</v>
      </c>
      <c r="B463" s="15">
        <v>0.2</v>
      </c>
      <c r="C463" s="16">
        <v>0.3</v>
      </c>
    </row>
    <row r="464" spans="1:3" ht="15.75" thickBot="1" x14ac:dyDescent="0.3">
      <c r="A464" s="14" t="s">
        <v>498</v>
      </c>
      <c r="B464" s="15">
        <v>0.2</v>
      </c>
      <c r="C464" s="16">
        <v>0.3</v>
      </c>
    </row>
    <row r="465" spans="1:3" ht="15.75" thickBot="1" x14ac:dyDescent="0.3">
      <c r="A465" s="14" t="s">
        <v>499</v>
      </c>
      <c r="B465" s="15">
        <v>0.2</v>
      </c>
      <c r="C465" s="16">
        <v>0.3</v>
      </c>
    </row>
    <row r="466" spans="1:3" ht="15.75" thickBot="1" x14ac:dyDescent="0.3">
      <c r="A466" s="14" t="s">
        <v>500</v>
      </c>
      <c r="B466" s="15">
        <v>0.2</v>
      </c>
      <c r="C466" s="16">
        <v>0.3</v>
      </c>
    </row>
    <row r="467" spans="1:3" ht="15.75" thickBot="1" x14ac:dyDescent="0.3">
      <c r="A467" s="14" t="s">
        <v>501</v>
      </c>
      <c r="B467" s="15">
        <v>0.2</v>
      </c>
      <c r="C467" s="16">
        <v>0.3</v>
      </c>
    </row>
    <row r="468" spans="1:3" ht="15.75" thickBot="1" x14ac:dyDescent="0.3">
      <c r="A468" s="14" t="s">
        <v>502</v>
      </c>
      <c r="B468" s="15">
        <v>0.2</v>
      </c>
      <c r="C468" s="16">
        <v>0.3</v>
      </c>
    </row>
    <row r="469" spans="1:3" ht="15.75" thickBot="1" x14ac:dyDescent="0.3">
      <c r="A469" s="14" t="s">
        <v>503</v>
      </c>
      <c r="B469" s="15">
        <v>0.2</v>
      </c>
      <c r="C469" s="16">
        <v>0.3</v>
      </c>
    </row>
    <row r="470" spans="1:3" ht="15.75" thickBot="1" x14ac:dyDescent="0.3">
      <c r="A470" s="14" t="s">
        <v>592</v>
      </c>
      <c r="B470" s="15">
        <v>0.2</v>
      </c>
      <c r="C470" s="16">
        <v>0.3</v>
      </c>
    </row>
    <row r="471" spans="1:3" ht="15.75" thickBot="1" x14ac:dyDescent="0.3">
      <c r="A471" s="14" t="s">
        <v>504</v>
      </c>
      <c r="B471" s="15">
        <v>0.2</v>
      </c>
      <c r="C471" s="16">
        <v>0.3</v>
      </c>
    </row>
    <row r="472" spans="1:3" ht="15.75" thickBot="1" x14ac:dyDescent="0.3">
      <c r="A472" s="14" t="s">
        <v>505</v>
      </c>
      <c r="B472" s="15">
        <v>0.2</v>
      </c>
      <c r="C472" s="16">
        <v>0.3</v>
      </c>
    </row>
    <row r="473" spans="1:3" ht="15.75" thickBot="1" x14ac:dyDescent="0.3">
      <c r="A473" s="14" t="s">
        <v>506</v>
      </c>
      <c r="B473" s="15">
        <v>0.2</v>
      </c>
      <c r="C473" s="16">
        <v>0.3</v>
      </c>
    </row>
    <row r="474" spans="1:3" ht="15.75" thickBot="1" x14ac:dyDescent="0.3">
      <c r="A474" s="14" t="s">
        <v>507</v>
      </c>
      <c r="B474" s="15">
        <v>0.2</v>
      </c>
      <c r="C474" s="16">
        <v>0.3</v>
      </c>
    </row>
    <row r="475" spans="1:3" ht="15.75" thickBot="1" x14ac:dyDescent="0.3">
      <c r="A475" s="14" t="s">
        <v>508</v>
      </c>
      <c r="B475" s="15">
        <v>0.2</v>
      </c>
      <c r="C475" s="16">
        <v>0.3</v>
      </c>
    </row>
    <row r="476" spans="1:3" ht="15.75" thickBot="1" x14ac:dyDescent="0.3">
      <c r="A476" s="14" t="s">
        <v>509</v>
      </c>
      <c r="B476" s="15">
        <v>0.2</v>
      </c>
      <c r="C476" s="16">
        <v>0.3</v>
      </c>
    </row>
    <row r="477" spans="1:3" ht="15.75" thickBot="1" x14ac:dyDescent="0.3">
      <c r="A477" s="14" t="s">
        <v>510</v>
      </c>
      <c r="B477" s="15">
        <v>0.2</v>
      </c>
      <c r="C477" s="16">
        <v>0.3</v>
      </c>
    </row>
    <row r="478" spans="1:3" ht="15.75" thickBot="1" x14ac:dyDescent="0.3">
      <c r="A478" s="14" t="s">
        <v>511</v>
      </c>
      <c r="B478" s="15">
        <v>0.2</v>
      </c>
      <c r="C478" s="16">
        <v>0.3</v>
      </c>
    </row>
    <row r="479" spans="1:3" ht="15.75" thickBot="1" x14ac:dyDescent="0.3">
      <c r="A479" s="14" t="s">
        <v>512</v>
      </c>
      <c r="B479" s="15">
        <v>0.2</v>
      </c>
      <c r="C479" s="16">
        <v>0.3</v>
      </c>
    </row>
    <row r="480" spans="1:3" ht="15.75" thickBot="1" x14ac:dyDescent="0.3">
      <c r="A480" s="14" t="s">
        <v>513</v>
      </c>
      <c r="B480" s="15">
        <v>0.15</v>
      </c>
      <c r="C480" s="16">
        <v>0.3</v>
      </c>
    </row>
    <row r="481" spans="1:3" ht="15.75" thickBot="1" x14ac:dyDescent="0.3">
      <c r="A481" s="14" t="s">
        <v>514</v>
      </c>
      <c r="B481" s="15">
        <v>0.2</v>
      </c>
      <c r="C481" s="16">
        <v>0.3</v>
      </c>
    </row>
    <row r="482" spans="1:3" ht="15.75" thickBot="1" x14ac:dyDescent="0.3">
      <c r="A482" s="14" t="s">
        <v>515</v>
      </c>
      <c r="B482" s="15">
        <v>0.18</v>
      </c>
      <c r="C482" s="16">
        <v>0.3</v>
      </c>
    </row>
    <row r="483" spans="1:3" ht="15.75" thickBot="1" x14ac:dyDescent="0.3">
      <c r="A483" s="14" t="s">
        <v>516</v>
      </c>
      <c r="B483" s="15">
        <v>0.21</v>
      </c>
      <c r="C483" s="16">
        <v>0.31</v>
      </c>
    </row>
    <row r="484" spans="1:3" ht="15.75" thickBot="1" x14ac:dyDescent="0.3">
      <c r="A484" s="14" t="s">
        <v>517</v>
      </c>
      <c r="B484" s="15">
        <v>0.2</v>
      </c>
      <c r="C484" s="16">
        <v>0.3</v>
      </c>
    </row>
    <row r="485" spans="1:3" ht="15.75" thickBot="1" x14ac:dyDescent="0.3">
      <c r="A485" s="14" t="s">
        <v>518</v>
      </c>
      <c r="B485" s="15">
        <v>0.2</v>
      </c>
      <c r="C485" s="16">
        <v>0.3</v>
      </c>
    </row>
    <row r="486" spans="1:3" ht="15.75" thickBot="1" x14ac:dyDescent="0.3">
      <c r="A486" s="14" t="s">
        <v>519</v>
      </c>
      <c r="B486" s="15">
        <v>0.2</v>
      </c>
      <c r="C486" s="16">
        <v>0.3</v>
      </c>
    </row>
    <row r="487" spans="1:3" ht="15.75" thickBot="1" x14ac:dyDescent="0.3">
      <c r="A487" s="14" t="s">
        <v>520</v>
      </c>
      <c r="B487" s="15">
        <v>0.2</v>
      </c>
      <c r="C487" s="16">
        <v>0.3</v>
      </c>
    </row>
    <row r="488" spans="1:3" ht="15.75" thickBot="1" x14ac:dyDescent="0.3">
      <c r="A488" s="14" t="s">
        <v>521</v>
      </c>
      <c r="B488" s="15">
        <v>0.2</v>
      </c>
      <c r="C488" s="16">
        <v>0.3</v>
      </c>
    </row>
    <row r="489" spans="1:3" ht="15.75" thickBot="1" x14ac:dyDescent="0.3">
      <c r="A489" s="14" t="s">
        <v>522</v>
      </c>
      <c r="B489" s="15">
        <v>0.2</v>
      </c>
      <c r="C489" s="16">
        <v>0.3</v>
      </c>
    </row>
    <row r="490" spans="1:3" ht="15.75" thickBot="1" x14ac:dyDescent="0.3">
      <c r="A490" s="14" t="s">
        <v>523</v>
      </c>
      <c r="B490" s="15">
        <v>0.2</v>
      </c>
      <c r="C490" s="16">
        <v>0.3</v>
      </c>
    </row>
    <row r="491" spans="1:3" ht="15.75" thickBot="1" x14ac:dyDescent="0.3">
      <c r="A491" s="14" t="s">
        <v>524</v>
      </c>
      <c r="B491" s="15">
        <v>0.21</v>
      </c>
      <c r="C491" s="16">
        <v>0.31</v>
      </c>
    </row>
    <row r="492" spans="1:3" ht="15.75" thickBot="1" x14ac:dyDescent="0.3">
      <c r="A492" s="14" t="s">
        <v>525</v>
      </c>
      <c r="B492" s="15">
        <v>0.21</v>
      </c>
      <c r="C492" s="16">
        <v>0.32</v>
      </c>
    </row>
    <row r="493" spans="1:3" ht="15.75" thickBot="1" x14ac:dyDescent="0.3">
      <c r="A493" s="14" t="s">
        <v>526</v>
      </c>
      <c r="B493" s="15">
        <v>0.21</v>
      </c>
      <c r="C493" s="16">
        <v>0.3</v>
      </c>
    </row>
    <row r="494" spans="1:3" ht="15.75" thickBot="1" x14ac:dyDescent="0.3">
      <c r="A494" s="14" t="s">
        <v>527</v>
      </c>
      <c r="B494" s="15">
        <v>0.2</v>
      </c>
      <c r="C494" s="16">
        <v>0.3</v>
      </c>
    </row>
    <row r="495" spans="1:3" ht="15.75" thickBot="1" x14ac:dyDescent="0.3">
      <c r="A495" s="14" t="s">
        <v>528</v>
      </c>
      <c r="B495" s="15">
        <v>0.2</v>
      </c>
      <c r="C495" s="16">
        <v>0.3</v>
      </c>
    </row>
    <row r="496" spans="1:3" ht="15.75" thickBot="1" x14ac:dyDescent="0.3">
      <c r="A496" s="14" t="s">
        <v>529</v>
      </c>
      <c r="B496" s="15">
        <v>0.2</v>
      </c>
      <c r="C496" s="16">
        <v>0.3</v>
      </c>
    </row>
    <row r="497" spans="1:3" ht="15.75" thickBot="1" x14ac:dyDescent="0.3">
      <c r="A497" s="14" t="s">
        <v>530</v>
      </c>
      <c r="B497" s="15">
        <v>0.2</v>
      </c>
      <c r="C497" s="16">
        <v>0.3</v>
      </c>
    </row>
    <row r="498" spans="1:3" ht="15.75" thickBot="1" x14ac:dyDescent="0.3">
      <c r="A498" s="14" t="s">
        <v>531</v>
      </c>
      <c r="B498" s="15">
        <v>0.2</v>
      </c>
      <c r="C498" s="16">
        <v>0.3</v>
      </c>
    </row>
    <row r="499" spans="1:3" ht="15.75" thickBot="1" x14ac:dyDescent="0.3">
      <c r="A499" s="14" t="s">
        <v>532</v>
      </c>
      <c r="B499" s="15">
        <v>0.2</v>
      </c>
      <c r="C499" s="16">
        <v>0.3</v>
      </c>
    </row>
    <row r="500" spans="1:3" ht="15.75" thickBot="1" x14ac:dyDescent="0.3">
      <c r="A500" s="14" t="s">
        <v>533</v>
      </c>
      <c r="B500" s="15">
        <v>0.2</v>
      </c>
      <c r="C500" s="16">
        <v>0.3</v>
      </c>
    </row>
    <row r="501" spans="1:3" ht="15.75" thickBot="1" x14ac:dyDescent="0.3">
      <c r="A501" s="14" t="s">
        <v>534</v>
      </c>
      <c r="B501" s="15">
        <v>0.2</v>
      </c>
      <c r="C501" s="16">
        <v>0.3</v>
      </c>
    </row>
    <row r="502" spans="1:3" ht="15.75" thickBot="1" x14ac:dyDescent="0.3">
      <c r="A502" s="14" t="s">
        <v>535</v>
      </c>
      <c r="B502" s="15">
        <v>0.2</v>
      </c>
      <c r="C502" s="16">
        <v>0.3</v>
      </c>
    </row>
    <row r="503" spans="1:3" ht="15.75" thickBot="1" x14ac:dyDescent="0.3">
      <c r="A503" s="14" t="s">
        <v>536</v>
      </c>
      <c r="B503" s="15">
        <v>0.2</v>
      </c>
      <c r="C503" s="16">
        <v>0.3</v>
      </c>
    </row>
    <row r="504" spans="1:3" ht="15.75" thickBot="1" x14ac:dyDescent="0.3">
      <c r="A504" s="14" t="s">
        <v>537</v>
      </c>
      <c r="B504" s="15">
        <v>0.17499999999999999</v>
      </c>
      <c r="C504" s="16">
        <v>0.27500000000000002</v>
      </c>
    </row>
    <row r="505" spans="1:3" ht="15.75" thickBot="1" x14ac:dyDescent="0.3">
      <c r="A505" s="14" t="s">
        <v>538</v>
      </c>
      <c r="B505" s="15">
        <v>0.2</v>
      </c>
      <c r="C505" s="16">
        <v>0.3</v>
      </c>
    </row>
    <row r="506" spans="1:3" ht="15.75" thickBot="1" x14ac:dyDescent="0.3">
      <c r="A506" s="14" t="s">
        <v>539</v>
      </c>
      <c r="B506" s="15">
        <v>0.2</v>
      </c>
      <c r="C506" s="16">
        <v>0.3</v>
      </c>
    </row>
    <row r="507" spans="1:3" ht="15.75" thickBot="1" x14ac:dyDescent="0.3">
      <c r="A507" s="14" t="s">
        <v>540</v>
      </c>
      <c r="B507" s="15">
        <v>0.2</v>
      </c>
      <c r="C507" s="16">
        <v>0.3</v>
      </c>
    </row>
    <row r="508" spans="1:3" ht="15.75" thickBot="1" x14ac:dyDescent="0.3">
      <c r="A508" s="14" t="s">
        <v>541</v>
      </c>
      <c r="B508" s="15">
        <v>0.2</v>
      </c>
      <c r="C508" s="16">
        <v>0.3</v>
      </c>
    </row>
    <row r="509" spans="1:3" ht="15.75" thickBot="1" x14ac:dyDescent="0.3">
      <c r="A509" s="14" t="s">
        <v>542</v>
      </c>
      <c r="B509" s="15">
        <v>0.2</v>
      </c>
      <c r="C509" s="16">
        <v>0.3</v>
      </c>
    </row>
    <row r="510" spans="1:3" ht="15.75" thickBot="1" x14ac:dyDescent="0.3">
      <c r="A510" s="14" t="s">
        <v>543</v>
      </c>
      <c r="B510" s="15">
        <v>0.2</v>
      </c>
      <c r="C510" s="16">
        <v>0.3</v>
      </c>
    </row>
    <row r="511" spans="1:3" ht="15.75" thickBot="1" x14ac:dyDescent="0.3">
      <c r="A511" s="14" t="s">
        <v>544</v>
      </c>
      <c r="B511" s="15">
        <v>0.2</v>
      </c>
      <c r="C511" s="16">
        <v>0.3</v>
      </c>
    </row>
    <row r="512" spans="1:3" ht="15.75" thickBot="1" x14ac:dyDescent="0.3">
      <c r="A512" s="14" t="s">
        <v>545</v>
      </c>
      <c r="B512" s="15">
        <v>0.2</v>
      </c>
      <c r="C512" s="16">
        <v>0.3</v>
      </c>
    </row>
    <row r="513" spans="1:3" ht="15.75" thickBot="1" x14ac:dyDescent="0.3">
      <c r="A513" s="14" t="s">
        <v>546</v>
      </c>
      <c r="B513" s="15">
        <v>0.2</v>
      </c>
      <c r="C513" s="16">
        <v>0.3</v>
      </c>
    </row>
    <row r="514" spans="1:3" ht="15.75" thickBot="1" x14ac:dyDescent="0.3">
      <c r="A514" s="14" t="s">
        <v>547</v>
      </c>
      <c r="B514" s="15">
        <v>0.2</v>
      </c>
      <c r="C514" s="16">
        <v>0.3</v>
      </c>
    </row>
    <row r="515" spans="1:3" ht="15.75" thickBot="1" x14ac:dyDescent="0.3">
      <c r="A515" s="14" t="s">
        <v>548</v>
      </c>
      <c r="B515" s="15">
        <v>0.2</v>
      </c>
      <c r="C515" s="16">
        <v>0.3</v>
      </c>
    </row>
    <row r="516" spans="1:3" ht="15.75" thickBot="1" x14ac:dyDescent="0.3">
      <c r="A516" s="14" t="s">
        <v>549</v>
      </c>
      <c r="B516" s="15">
        <v>0.2</v>
      </c>
      <c r="C516" s="16">
        <v>0.3</v>
      </c>
    </row>
    <row r="517" spans="1:3" ht="15.75" thickBot="1" x14ac:dyDescent="0.3">
      <c r="A517" s="14" t="s">
        <v>550</v>
      </c>
      <c r="B517" s="15">
        <v>0.2</v>
      </c>
      <c r="C517" s="16">
        <v>0.3</v>
      </c>
    </row>
    <row r="518" spans="1:3" ht="15.75" thickBot="1" x14ac:dyDescent="0.3">
      <c r="A518" s="14" t="s">
        <v>551</v>
      </c>
      <c r="B518" s="15">
        <v>0.2</v>
      </c>
      <c r="C518" s="16">
        <v>0.3</v>
      </c>
    </row>
    <row r="519" spans="1:3" ht="15.75" thickBot="1" x14ac:dyDescent="0.3">
      <c r="A519" s="14" t="s">
        <v>552</v>
      </c>
      <c r="B519" s="15">
        <v>0.2</v>
      </c>
      <c r="C519" s="16">
        <v>0.25</v>
      </c>
    </row>
    <row r="520" spans="1:3" ht="15.75" thickBot="1" x14ac:dyDescent="0.3">
      <c r="A520" s="14" t="s">
        <v>553</v>
      </c>
      <c r="B520" s="15">
        <v>0.2</v>
      </c>
      <c r="C520" s="16">
        <v>0.3</v>
      </c>
    </row>
    <row r="521" spans="1:3" ht="15.75" thickBot="1" x14ac:dyDescent="0.3">
      <c r="A521" s="14" t="s">
        <v>554</v>
      </c>
      <c r="B521" s="15">
        <v>0.2</v>
      </c>
      <c r="C521" s="16">
        <v>0.3</v>
      </c>
    </row>
    <row r="522" spans="1:3" ht="15.75" thickBot="1" x14ac:dyDescent="0.3">
      <c r="A522" s="14" t="s">
        <v>555</v>
      </c>
      <c r="B522" s="15">
        <v>0.2</v>
      </c>
      <c r="C522" s="16">
        <v>0.3</v>
      </c>
    </row>
    <row r="523" spans="1:3" ht="15.75" thickBot="1" x14ac:dyDescent="0.3">
      <c r="A523" s="14" t="s">
        <v>556</v>
      </c>
      <c r="B523" s="15">
        <v>0.2</v>
      </c>
      <c r="C523" s="16">
        <v>0.3</v>
      </c>
    </row>
    <row r="524" spans="1:3" ht="15.75" thickBot="1" x14ac:dyDescent="0.3">
      <c r="A524" s="14" t="s">
        <v>557</v>
      </c>
      <c r="B524" s="15">
        <v>0.2</v>
      </c>
      <c r="C524" s="16">
        <v>0.3</v>
      </c>
    </row>
    <row r="525" spans="1:3" ht="15.75" thickBot="1" x14ac:dyDescent="0.3">
      <c r="A525" s="14" t="s">
        <v>558</v>
      </c>
      <c r="B525" s="15">
        <v>0.2</v>
      </c>
      <c r="C525" s="16">
        <v>0.3</v>
      </c>
    </row>
    <row r="526" spans="1:3" ht="15.75" thickBot="1" x14ac:dyDescent="0.3">
      <c r="A526" s="14" t="s">
        <v>559</v>
      </c>
      <c r="B526" s="15">
        <v>0.2</v>
      </c>
      <c r="C526" s="16">
        <v>0.3</v>
      </c>
    </row>
    <row r="527" spans="1:3" ht="15.75" thickBot="1" x14ac:dyDescent="0.3">
      <c r="A527" s="14" t="s">
        <v>560</v>
      </c>
      <c r="B527" s="15">
        <v>0.2</v>
      </c>
      <c r="C527" s="16">
        <v>0.3</v>
      </c>
    </row>
    <row r="528" spans="1:3" ht="15.75" thickBot="1" x14ac:dyDescent="0.3">
      <c r="A528" s="14" t="s">
        <v>561</v>
      </c>
      <c r="B528" s="15">
        <v>0.2</v>
      </c>
      <c r="C528" s="16">
        <v>0.3</v>
      </c>
    </row>
    <row r="529" spans="1:3" ht="15.75" thickBot="1" x14ac:dyDescent="0.3">
      <c r="A529" s="14" t="s">
        <v>562</v>
      </c>
      <c r="B529" s="15">
        <v>0.2</v>
      </c>
      <c r="C529" s="16">
        <v>0.3</v>
      </c>
    </row>
    <row r="530" spans="1:3" ht="15.75" thickBot="1" x14ac:dyDescent="0.3">
      <c r="A530" s="14" t="s">
        <v>563</v>
      </c>
      <c r="B530" s="15">
        <v>0.21</v>
      </c>
      <c r="C530" s="16">
        <v>0.31</v>
      </c>
    </row>
    <row r="531" spans="1:3" ht="15.75" thickBot="1" x14ac:dyDescent="0.3">
      <c r="A531" s="14" t="s">
        <v>564</v>
      </c>
      <c r="B531" s="15">
        <v>0.21</v>
      </c>
      <c r="C531" s="16">
        <v>0.25</v>
      </c>
    </row>
    <row r="532" spans="1:3" ht="15.75" thickBot="1" x14ac:dyDescent="0.3">
      <c r="A532" s="14" t="s">
        <v>565</v>
      </c>
      <c r="B532" s="15">
        <v>0.18</v>
      </c>
      <c r="C532" s="16">
        <v>0.3</v>
      </c>
    </row>
    <row r="533" spans="1:3" ht="15.75" thickBot="1" x14ac:dyDescent="0.3">
      <c r="A533" s="14" t="s">
        <v>566</v>
      </c>
      <c r="B533" s="15">
        <v>0.2</v>
      </c>
      <c r="C533" s="16">
        <v>0.3</v>
      </c>
    </row>
    <row r="534" spans="1:3" ht="15.75" thickBot="1" x14ac:dyDescent="0.3">
      <c r="A534" s="14" t="s">
        <v>567</v>
      </c>
      <c r="B534" s="15">
        <v>0.2</v>
      </c>
      <c r="C534" s="16">
        <v>0.3</v>
      </c>
    </row>
    <row r="535" spans="1:3" ht="15.75" thickBot="1" x14ac:dyDescent="0.3">
      <c r="A535" s="14" t="s">
        <v>568</v>
      </c>
      <c r="B535" s="15">
        <v>0.2</v>
      </c>
      <c r="C535" s="16">
        <v>0.3</v>
      </c>
    </row>
    <row r="536" spans="1:3" ht="15.75" thickBot="1" x14ac:dyDescent="0.3">
      <c r="A536" s="14" t="s">
        <v>569</v>
      </c>
      <c r="B536" s="15">
        <v>0.15</v>
      </c>
      <c r="C536" s="16">
        <v>0.3</v>
      </c>
    </row>
    <row r="537" spans="1:3" ht="15.75" thickBot="1" x14ac:dyDescent="0.3">
      <c r="A537" s="14" t="s">
        <v>570</v>
      </c>
      <c r="B537" s="15">
        <v>0.2</v>
      </c>
      <c r="C537" s="16">
        <v>0.3</v>
      </c>
    </row>
    <row r="538" spans="1:3" ht="15.75" thickBot="1" x14ac:dyDescent="0.3">
      <c r="A538" s="14" t="s">
        <v>571</v>
      </c>
      <c r="B538" s="15">
        <v>0.2</v>
      </c>
      <c r="C538" s="16">
        <v>0.3</v>
      </c>
    </row>
    <row r="539" spans="1:3" ht="15.75" thickBot="1" x14ac:dyDescent="0.3">
      <c r="A539" s="14" t="s">
        <v>572</v>
      </c>
      <c r="B539" s="15">
        <v>0.2</v>
      </c>
      <c r="C539" s="16">
        <v>0.3</v>
      </c>
    </row>
    <row r="540" spans="1:3" ht="15.75" thickBot="1" x14ac:dyDescent="0.3">
      <c r="A540" s="14" t="s">
        <v>573</v>
      </c>
      <c r="B540" s="15">
        <v>0.2</v>
      </c>
      <c r="C540" s="16">
        <v>0.3</v>
      </c>
    </row>
    <row r="541" spans="1:3" ht="15.75" thickBot="1" x14ac:dyDescent="0.3">
      <c r="A541" s="14" t="s">
        <v>574</v>
      </c>
      <c r="B541" s="15">
        <v>0.2</v>
      </c>
      <c r="C541" s="16">
        <v>0.3</v>
      </c>
    </row>
    <row r="542" spans="1:3" ht="15.75" thickBot="1" x14ac:dyDescent="0.3">
      <c r="A542" s="14" t="s">
        <v>575</v>
      </c>
      <c r="B542" s="15">
        <v>0.2</v>
      </c>
      <c r="C542" s="16">
        <v>0.3</v>
      </c>
    </row>
    <row r="543" spans="1:3" ht="15.75" thickBot="1" x14ac:dyDescent="0.3">
      <c r="A543" s="14" t="s">
        <v>576</v>
      </c>
      <c r="B543" s="15">
        <v>0.23</v>
      </c>
      <c r="C543" s="16">
        <v>0.33</v>
      </c>
    </row>
    <row r="544" spans="1:3" ht="15.75" thickBot="1" x14ac:dyDescent="0.3">
      <c r="A544" s="14" t="s">
        <v>577</v>
      </c>
      <c r="B544" s="15">
        <v>0.2</v>
      </c>
      <c r="C544" s="16">
        <v>0.3</v>
      </c>
    </row>
    <row r="545" spans="1:3" ht="15.75" thickBot="1" x14ac:dyDescent="0.3">
      <c r="A545" s="14" t="s">
        <v>578</v>
      </c>
      <c r="B545" s="15">
        <v>0.2</v>
      </c>
      <c r="C545" s="16">
        <v>0.3</v>
      </c>
    </row>
    <row r="546" spans="1:3" ht="15.75" thickBot="1" x14ac:dyDescent="0.3">
      <c r="A546" s="14" t="s">
        <v>579</v>
      </c>
      <c r="B546" s="15">
        <v>0.2</v>
      </c>
      <c r="C546" s="16">
        <v>0.3</v>
      </c>
    </row>
    <row r="547" spans="1:3" ht="15.75" thickBot="1" x14ac:dyDescent="0.3">
      <c r="A547" s="14" t="s">
        <v>580</v>
      </c>
      <c r="B547" s="15">
        <v>0.2</v>
      </c>
      <c r="C547" s="16">
        <v>0.3</v>
      </c>
    </row>
    <row r="548" spans="1:3" ht="15.75" thickBot="1" x14ac:dyDescent="0.3">
      <c r="A548" s="14" t="s">
        <v>581</v>
      </c>
      <c r="B548" s="15">
        <v>0.2</v>
      </c>
      <c r="C548" s="16">
        <v>0.3</v>
      </c>
    </row>
    <row r="549" spans="1:3" ht="15.75" thickBot="1" x14ac:dyDescent="0.3">
      <c r="A549" s="14" t="s">
        <v>582</v>
      </c>
      <c r="B549" s="15">
        <v>0.2</v>
      </c>
      <c r="C549" s="16">
        <v>0.3</v>
      </c>
    </row>
    <row r="550" spans="1:3" ht="15.75" thickBot="1" x14ac:dyDescent="0.3">
      <c r="A550" s="14" t="s">
        <v>583</v>
      </c>
      <c r="B550" s="15">
        <v>0.2</v>
      </c>
      <c r="C550" s="16">
        <v>0.3</v>
      </c>
    </row>
    <row r="551" spans="1:3" ht="15.75" thickBot="1" x14ac:dyDescent="0.3">
      <c r="A551" s="14" t="s">
        <v>584</v>
      </c>
      <c r="B551" s="15">
        <v>0.2</v>
      </c>
      <c r="C551" s="16">
        <v>0.25</v>
      </c>
    </row>
    <row r="552" spans="1:3" ht="15.75" thickBot="1" x14ac:dyDescent="0.3">
      <c r="A552" s="14" t="s">
        <v>585</v>
      </c>
      <c r="B552" s="15">
        <v>0.2</v>
      </c>
      <c r="C552" s="16">
        <v>0.3</v>
      </c>
    </row>
    <row r="553" spans="1:3" ht="15.75" thickBot="1" x14ac:dyDescent="0.3">
      <c r="A553" s="14" t="s">
        <v>586</v>
      </c>
      <c r="B553" s="15">
        <v>0.2</v>
      </c>
      <c r="C553" s="16">
        <v>0.3</v>
      </c>
    </row>
    <row r="554" spans="1:3" ht="15.75" thickBot="1" x14ac:dyDescent="0.3">
      <c r="A554" s="14" t="s">
        <v>587</v>
      </c>
      <c r="B554" s="15">
        <v>0.2</v>
      </c>
      <c r="C554" s="16">
        <v>0.3</v>
      </c>
    </row>
    <row r="555" spans="1:3" ht="15.75" thickBot="1" x14ac:dyDescent="0.3">
      <c r="A555" s="14" t="s">
        <v>588</v>
      </c>
      <c r="B555" s="15">
        <v>0.2</v>
      </c>
      <c r="C555" s="16">
        <v>0.3</v>
      </c>
    </row>
    <row r="556" spans="1:3" ht="15.75" thickBot="1" x14ac:dyDescent="0.3">
      <c r="A556" s="14" t="s">
        <v>589</v>
      </c>
      <c r="B556" s="15">
        <v>0.2</v>
      </c>
      <c r="C556" s="16">
        <v>0.3</v>
      </c>
    </row>
    <row r="557" spans="1:3" ht="15.75" thickBot="1" x14ac:dyDescent="0.3">
      <c r="A557" s="14" t="s">
        <v>590</v>
      </c>
      <c r="B557" s="15">
        <v>0.21</v>
      </c>
      <c r="C557" s="16">
        <v>0.31</v>
      </c>
    </row>
  </sheetData>
  <sheetProtection algorithmName="SHA-512" hashValue="RFOFMxsV8RUpw47ytlT+XrHOwdX9XQrjZgjZud7nuqUM4W5/08MvyQG60J3lx8C/fKfXrlvux1mlHWoAlh+tsw==" saltValue="LFjHyD72+EAuT2v5Iek9iw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63BB2-73A5-405F-A104-2BC7F8A241D6}">
  <sheetPr codeName="Sheet3"/>
  <dimension ref="A1:K8"/>
  <sheetViews>
    <sheetView tabSelected="1" workbookViewId="0">
      <selection activeCell="C1" sqref="C1:D1"/>
    </sheetView>
  </sheetViews>
  <sheetFormatPr defaultRowHeight="15" x14ac:dyDescent="0.25"/>
  <cols>
    <col min="1" max="1" width="9.140625" style="4"/>
    <col min="2" max="3" width="13.28515625" style="4" customWidth="1"/>
    <col min="4" max="5" width="9.140625" style="4"/>
    <col min="6" max="7" width="10.7109375" style="4" bestFit="1" customWidth="1"/>
    <col min="8" max="8" width="11.140625" style="4" bestFit="1" customWidth="1"/>
    <col min="9" max="9" width="10.5703125" style="4" customWidth="1"/>
    <col min="10" max="10" width="11.140625" style="4" bestFit="1" customWidth="1"/>
    <col min="11" max="11" width="9.140625" style="4"/>
    <col min="12" max="12" width="9.140625" style="4" customWidth="1"/>
    <col min="13" max="16384" width="9.140625" style="4"/>
  </cols>
  <sheetData>
    <row r="1" spans="1:11" x14ac:dyDescent="0.25">
      <c r="A1" s="78" t="s">
        <v>597</v>
      </c>
      <c r="B1" s="78"/>
      <c r="C1" s="77" t="s">
        <v>637</v>
      </c>
      <c r="D1" s="77"/>
      <c r="H1" s="59"/>
    </row>
    <row r="2" spans="1:11" x14ac:dyDescent="0.25">
      <c r="A2" s="6" t="s">
        <v>31</v>
      </c>
      <c r="B2" s="45">
        <v>2025</v>
      </c>
      <c r="C2" s="45">
        <v>9</v>
      </c>
      <c r="D2" s="45">
        <v>1</v>
      </c>
      <c r="F2" s="59"/>
    </row>
    <row r="3" spans="1:11" x14ac:dyDescent="0.25">
      <c r="A3" s="6" t="s">
        <v>32</v>
      </c>
      <c r="B3" s="47">
        <f>IF(B2="","",B2)</f>
        <v>2025</v>
      </c>
      <c r="C3" s="48">
        <f>IF(C2="","",C2)</f>
        <v>9</v>
      </c>
      <c r="D3" s="45">
        <v>30</v>
      </c>
      <c r="F3" s="59"/>
    </row>
    <row r="4" spans="1:11" x14ac:dyDescent="0.25">
      <c r="A4" s="75" t="s">
        <v>33</v>
      </c>
      <c r="B4" s="76">
        <f>IFERROR(NETWORKDAYS(DATE(B2,C2,D2),DATE(B3,C3,D3))*8,0)</f>
        <v>176</v>
      </c>
      <c r="C4" s="76"/>
      <c r="D4" s="76"/>
      <c r="K4" s="19"/>
    </row>
    <row r="5" spans="1:11" x14ac:dyDescent="0.25">
      <c r="A5" s="75"/>
      <c r="B5" s="76"/>
      <c r="C5" s="76"/>
      <c r="D5" s="76"/>
    </row>
    <row r="8" spans="1:11" x14ac:dyDescent="0.25">
      <c r="A8" s="1"/>
    </row>
  </sheetData>
  <mergeCells count="4">
    <mergeCell ref="A4:A5"/>
    <mergeCell ref="B4:D5"/>
    <mergeCell ref="C1:D1"/>
    <mergeCell ref="A1:B1"/>
  </mergeCells>
  <conditionalFormatting sqref="D3">
    <cfRule type="expression" dxfId="5" priority="24">
      <formula>AND(ISNUMBER($D$3),COUNTIF(dani_do, $D$3)=0)</formula>
    </cfRule>
  </conditionalFormatting>
  <dataValidations xWindow="230" yWindow="305" count="4">
    <dataValidation type="list" allowBlank="1" showInputMessage="1" showErrorMessage="1" prompt="Mjesec" sqref="C2" xr:uid="{5399905C-DB30-4B11-AEBF-06DC99E294A7}">
      <formula1>"1,2,3,4,5,6,7,8,9,10,11,12"</formula1>
    </dataValidation>
    <dataValidation type="list" allowBlank="1" showInputMessage="1" showErrorMessage="1" prompt="Dan" sqref="D2" xr:uid="{0A9266E1-6168-49A4-9B3D-16B19D216992}">
      <formula1>dani_od</formula1>
    </dataValidation>
    <dataValidation type="list" allowBlank="1" showInputMessage="1" showErrorMessage="1" prompt="Dan" sqref="D3" xr:uid="{E88BCF2B-1BB3-446C-BB10-3F5C00DEE78F}">
      <formula1>dani_do</formula1>
    </dataValidation>
    <dataValidation type="list" allowBlank="1" showInputMessage="1" showErrorMessage="1" prompt="Godina" sqref="B2" xr:uid="{B22FCB35-2054-40FC-BAB5-F4D5F3F2702C}">
      <formula1>"2026,2025"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xWindow="230" yWindow="305" count="1">
        <x14:dataValidation type="list" allowBlank="1" showInputMessage="1" showErrorMessage="1" prompt="Status" xr:uid="{7E3A7490-AC4F-4AAE-8F98-A46DD112FE63}">
          <x14:formula1>
            <xm:f>Helper!$F$2:$F$10</xm:f>
          </x14:formula1>
          <xm:sqref>C1:D1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530BD-F5A7-4473-97FE-10A7827451E2}">
  <sheetPr codeName="Sheet4"/>
  <dimension ref="A1:X36"/>
  <sheetViews>
    <sheetView workbookViewId="0">
      <selection activeCell="C1" sqref="C1"/>
    </sheetView>
  </sheetViews>
  <sheetFormatPr defaultRowHeight="15" x14ac:dyDescent="0.25"/>
  <cols>
    <col min="1" max="1" width="13.140625" style="4" customWidth="1"/>
    <col min="2" max="2" width="10.5703125" style="4" bestFit="1" customWidth="1"/>
    <col min="3" max="3" width="13.5703125" style="4" customWidth="1"/>
    <col min="4" max="4" width="14.85546875" style="4" bestFit="1" customWidth="1"/>
    <col min="5" max="8" width="14.28515625" style="4" customWidth="1"/>
    <col min="9" max="9" width="14.85546875" style="4" customWidth="1"/>
    <col min="10" max="11" width="13.28515625" style="4" bestFit="1" customWidth="1"/>
    <col min="12" max="12" width="13.7109375" style="4" bestFit="1" customWidth="1"/>
    <col min="13" max="16" width="9.140625" style="4" customWidth="1"/>
    <col min="17" max="17" width="9.140625" style="4"/>
    <col min="18" max="18" width="10.7109375" style="4" bestFit="1" customWidth="1"/>
    <col min="19" max="22" width="9.140625" style="4" customWidth="1"/>
    <col min="23" max="16384" width="9.140625" style="4"/>
  </cols>
  <sheetData>
    <row r="1" spans="1:24" x14ac:dyDescent="0.25">
      <c r="A1" s="100" t="s">
        <v>622</v>
      </c>
      <c r="B1" s="100"/>
      <c r="C1" s="17"/>
      <c r="P1" s="70"/>
      <c r="S1" s="59"/>
    </row>
    <row r="2" spans="1:24" x14ac:dyDescent="0.25">
      <c r="A2" s="20" t="s">
        <v>610</v>
      </c>
      <c r="B2" s="20"/>
      <c r="C2" s="18"/>
    </row>
    <row r="3" spans="1:24" x14ac:dyDescent="0.25">
      <c r="A3" s="20" t="s">
        <v>609</v>
      </c>
      <c r="B3" s="37"/>
      <c r="C3" s="38">
        <f>IFERROR(DATE(GOD_OBR,MJ_OBR,1),"")</f>
        <v>45901</v>
      </c>
      <c r="E3" s="59"/>
      <c r="F3" s="59"/>
      <c r="G3" s="59"/>
      <c r="H3" s="59"/>
      <c r="Q3" s="64"/>
      <c r="S3" s="59"/>
    </row>
    <row r="4" spans="1:24" x14ac:dyDescent="0.25">
      <c r="A4" s="100" t="s">
        <v>614</v>
      </c>
      <c r="B4" s="101"/>
      <c r="C4" s="42" t="str" cm="1">
        <f t="array" ref="C4">_xlfn.LET(
_xlpm.n,31,
_xlpm.r,_xlfn.SEQUENCE(_xlpm.n,1,1,6),
_xlpm.statusi,INDEX(Obracunski_sati!C:C,_xlpm.r),
IF(SUMPRODUCT(--(_xlpm.statusi="Bolovanje"))&gt;0,"Poslodavac","")
)</f>
        <v/>
      </c>
      <c r="E4" s="103" t="str" cm="1">
        <f t="array" ref="E4">_xlfn.LET(
_xlpm.n,10,
_xlpm.r,_xlfn.SEQUENCE(_xlpm.n,1,1,6),
_xlpm.statusi,INDEX(Obracunski_sati!C:C,_xlpm.r),
IF(SUMPRODUCT(--(LEFT(_xlpm.statusi,4)="HZZO"))&gt;0,"HZZO","")
)</f>
        <v/>
      </c>
      <c r="F4" s="104"/>
      <c r="G4" s="104"/>
      <c r="H4" s="105"/>
    </row>
    <row r="5" spans="1:24" x14ac:dyDescent="0.25">
      <c r="E5" s="41" t="str" cm="1">
        <f t="array" ref="E5">_xlfn.LET(
_xlpm.n,10,
_xlpm.r,_xlfn.SEQUENCE(_xlpm.n,1,1,6),
_xlpm.statusi,INDEX(Obracunski_sati!C:C,_xlpm.r),
IF(SUMPRODUCT(--(_xlpm.statusi="HZZO(bol)"))&gt;0,"bolest","")
)</f>
        <v/>
      </c>
      <c r="F5" s="41" t="str" cm="1">
        <f t="array" ref="F5">_xlfn.LET(
_xlpm.n,10,
_xlpm.r,_xlfn.SEQUENCE(_xlpm.n,1,1,6),
_xlpm.statusi,INDEX(Obracunski_sati!C:C,_xlpm.r),
IF(SUMPRODUCT(--(_xlpm.statusi="HZZO(njega)"))&gt;0,"njega","")
)</f>
        <v/>
      </c>
      <c r="G5" s="41" t="str" cm="1">
        <f t="array" ref="G5">_xlfn.LET(
_xlpm.n,10,
_xlpm.r,_xlfn.SEQUENCE(_xlpm.n,1,1,6),
_xlpm.statusi,INDEX(Obracunski_sati!C:C,_xlpm.r),
IF(SUMPRODUCT(--(_xlpm.statusi="HZZO(njega-7)"))&gt;0,"njega-7","")
)</f>
        <v/>
      </c>
      <c r="H5" s="41" t="str" cm="1">
        <f t="array" ref="H5">_xlfn.LET(
_xlpm.n,10,
_xlpm.r,_xlfn.SEQUENCE(_xlpm.n,1,1,6),
_xlpm.statusi,INDEX(Obracunski_sati!C:C,_xlpm.r),
IF(SUMPRODUCT(--(_xlpm.statusi="HZZO(ozljeda)"))&gt;0,"ozljeda","")
)</f>
        <v/>
      </c>
    </row>
    <row r="6" spans="1:24" x14ac:dyDescent="0.25">
      <c r="A6" s="102" t="s">
        <v>598</v>
      </c>
      <c r="B6" s="101"/>
      <c r="C6" s="43" t="str" cm="1">
        <f t="array" ref="C6">IF(C4="Poslodavac",SUM_BRUTO,"")</f>
        <v/>
      </c>
      <c r="D6" s="33" t="s">
        <v>615</v>
      </c>
      <c r="E6" s="36" t="str" cm="1">
        <f t="array" ref="E6">_xlfn.IFS(OR(J7="N/A",J8="N/A"),0,AND(COUNT_HZZO_BOL&gt;0,OR(J7="Da",J7=""),OR(J8="Da",J8="")),SUM_NETO_HZZO_BOL,AND(COUNT_HZZO_BOL&gt;0,J7="Ne"),PROR_OSN,AND(COUNT_HZZO_BOL&gt;0,J8="Ne"),MJ_OSN_NETO,COUNT_HZZO_BOL=0,"")</f>
        <v/>
      </c>
      <c r="F6" s="106" t="str" cm="1">
        <f t="array" ref="F6">_xlfn.IFS(OR(J7="N/A",J8="N/A"),0,AND(OR(COUNT_HZZO_NJEGA&gt;0,COUNT_HZZO_NJEGA_7&gt;0),OR(J7="Da",J7=""),OR(J8="Da",J8="")),SUM_NETO_HZZO_OSTALO,AND(OR(COUNT_HZZO_NJEGA&gt;0,COUNT_HZZO_NJEGA_7&gt;0),J7="Ne"),PROR_OSN,AND(OR(COUNT_HZZO_NJEGA&gt;0,COUNT_HZZO_NJEGA_7&gt;0),J8="Ne"),MJ_OSN_NETO,AND(COUNT_HZZO_NJEGA=0,COUNT_HZZO_NJEGA_7=0),"")</f>
        <v/>
      </c>
      <c r="G6" s="107"/>
      <c r="H6" s="36" t="str" cm="1">
        <f t="array" ref="H6">_xlfn.IFS(AND(COUNT_HZZO_OZLJEDA&gt;0,OR(J7="Da",J7="Ne",J7="",J7="N/A"),OR(J8="Da",J8="")),SUM_NETO_HZZO_OSTALO,AND(COUNT_HZZO_OZLJEDA&gt;0,OR(J7="Da",J7="Ne",J7="",J7="N/A"),OR(J8="Ne",J8="N/A")),BRUTO,COUNT_HZZO_OZLJEDA=0,"")</f>
        <v/>
      </c>
    </row>
    <row r="7" spans="1:24" x14ac:dyDescent="0.25">
      <c r="A7" s="102" t="s">
        <v>619</v>
      </c>
      <c r="B7" s="100"/>
      <c r="C7" s="21" t="str" cm="1">
        <f t="array" ref="C7">IF(C4="Poslodavac",SUM_SATI_POSL_HZZO_OSTALO,"")</f>
        <v/>
      </c>
      <c r="D7" s="34" t="s">
        <v>618</v>
      </c>
      <c r="E7" s="21" t="str" cm="1">
        <f t="array" ref="E7">_xlfn.IFS(OR(J7="N/A",J8="N/A"),0,AND(COUNT_HZZO_BOL&gt;0,OR(J7="Da",J7=""),OR(J8="Da",J8="")),SUM_SATI_HZZO_BOL,AND(COUNT_HZZO_BOL&gt;0,J7="Ne"),TEK_FOND_SATI,AND(COUNT_HZZO_BOL&gt;0,J8="Ne"),_xlfn.XLOOKUP(EDATE(C3,-HZZO_BOL_MJ_ODSTUPANJE_NEUTVR_OSN),MJESECI,MJ_FOND_SATI),COUNT_HZZO_BOL=0,"")</f>
        <v/>
      </c>
      <c r="F7" s="108" t="str" cm="1">
        <f t="array" ref="F7">_xlfn.IFS(OR(J7="N/A",J8="N/A"),0,AND(OR(COUNT_HZZO_NJEGA&gt;0,COUNT_HZZO_NJEGA_7&gt;0),OR(J7="Da",J7=""),OR(J8="Da",J8="")),SUM_SATI_POSL_HZZO_OSTALO,AND(OR(COUNT_HZZO_NJEGA&gt;0,COUNT_HZZO_NJEGA_7&gt;0),J7="Ne"),TEK_FOND_SATI,AND(OR(COUNT_HZZO_NJEGA&gt;0,COUNT_HZZO_NJEGA_7&gt;0),J8="Ne"),_xlfn.XLOOKUP(EDATE(C3,-1),MJESECI,MJ_FOND_SATI),AND(COUNT_HZZO_NJEGA=0,COUNT_HZZO_NJEGA_7=0),"")</f>
        <v/>
      </c>
      <c r="G7" s="109"/>
      <c r="H7" s="21" t="str" cm="1">
        <f t="array" ref="H7">_xlfn.IFS(AND(COUNT_HZZO_OZLJEDA&gt;0,OR(J7="Da",J7="Ne",J7="",J7="N/A"),OR(J8="Da",J8="")),SUM_SATI_POSL_HZZO_OSTALO,AND(COUNT_HZZO_OZLJEDA&gt;0,OR(J7="Da",J7="Ne",J7="",J7="N/A"),OR(J8="Ne",J8="N/A")),_xlfn.XLOOKUP(EDATE(C3,0),MJESECI,MJ_FOND_SATI),COUNT_HZZO_OZLJEDA=0,"")</f>
        <v/>
      </c>
      <c r="I7" s="33" t="s">
        <v>623</v>
      </c>
      <c r="J7" s="18"/>
    </row>
    <row r="8" spans="1:24" x14ac:dyDescent="0.25">
      <c r="A8" s="91" t="s">
        <v>616</v>
      </c>
      <c r="B8" s="92"/>
      <c r="C8" s="22" t="str">
        <f>IFERROR(C6/C7*C1,"")</f>
        <v/>
      </c>
      <c r="D8" s="35" t="s">
        <v>617</v>
      </c>
      <c r="E8" s="22" t="str">
        <f>IFERROR(E6/E7*IF(J7="Ne",1,0.7),"")</f>
        <v/>
      </c>
      <c r="F8" s="49" t="str">
        <f>IFERROR(IF(J7="Ne",F6/F7,F6/F7*0.7),"")</f>
        <v/>
      </c>
      <c r="G8" s="49" t="str">
        <f>IFERROR(IF(J7="Ne",F6/F7,F6/F7),"")</f>
        <v/>
      </c>
      <c r="H8" s="22" t="str">
        <f>IFERROR(H6/H7,"")</f>
        <v/>
      </c>
      <c r="I8" s="34" t="s">
        <v>624</v>
      </c>
      <c r="J8" s="18"/>
    </row>
    <row r="10" spans="1:24" x14ac:dyDescent="0.25">
      <c r="A10" s="93" t="s">
        <v>599</v>
      </c>
      <c r="B10" s="82" t="s">
        <v>600</v>
      </c>
      <c r="C10" s="97" t="s">
        <v>601</v>
      </c>
      <c r="D10" s="85" t="s">
        <v>602</v>
      </c>
      <c r="E10" s="86"/>
      <c r="F10" s="86"/>
      <c r="G10" s="86"/>
      <c r="H10" s="86"/>
      <c r="I10" s="86"/>
      <c r="J10" s="86"/>
      <c r="K10" s="86"/>
    </row>
    <row r="11" spans="1:24" x14ac:dyDescent="0.25">
      <c r="A11" s="94"/>
      <c r="B11" s="96"/>
      <c r="C11" s="98"/>
      <c r="D11" s="96" t="s">
        <v>603</v>
      </c>
      <c r="E11" s="96"/>
      <c r="F11" s="87" t="s">
        <v>613</v>
      </c>
      <c r="G11" s="88"/>
      <c r="H11" s="89"/>
      <c r="I11" s="81" t="s">
        <v>611</v>
      </c>
      <c r="J11" s="81" t="s">
        <v>606</v>
      </c>
      <c r="K11" s="83" t="s">
        <v>612</v>
      </c>
    </row>
    <row r="12" spans="1:24" x14ac:dyDescent="0.25">
      <c r="A12" s="95"/>
      <c r="B12" s="81"/>
      <c r="C12" s="99"/>
      <c r="D12" s="23" t="s">
        <v>604</v>
      </c>
      <c r="E12" s="23" t="s">
        <v>605</v>
      </c>
      <c r="F12" s="23" t="s">
        <v>628</v>
      </c>
      <c r="G12" s="23" t="s">
        <v>607</v>
      </c>
      <c r="H12" s="23" t="s">
        <v>608</v>
      </c>
      <c r="I12" s="90"/>
      <c r="J12" s="82"/>
      <c r="K12" s="84"/>
      <c r="P12" s="64"/>
    </row>
    <row r="13" spans="1:24" x14ac:dyDescent="0.25">
      <c r="A13" s="24">
        <v>45658</v>
      </c>
      <c r="B13" s="44">
        <f>IF(AND(YEAR(A13)=GOD_OBR,MONTH(A13)=MJ_OBR),'Kalkulacija plaće'!$G$2,1500)</f>
        <v>1500</v>
      </c>
      <c r="C13" s="44">
        <f>IF(AND(YEAR(A13)=GOD_OBR,MONTH(A13)=MJ_OBR),'Kalkulacija plaće'!$G$16,1062)</f>
        <v>1062</v>
      </c>
      <c r="D13" s="28" cm="1">
        <f t="array" ref="D13">IF(AND(YEAR(A13)=GOD_OBR,MONTH(A13)=MJ_OBR),SUM_RAD_SATI-SUM_RAD_PB,K13-F13)</f>
        <v>168</v>
      </c>
      <c r="E13" s="28"/>
      <c r="F13" s="39" cm="1">
        <f t="array" ref="F13">IF(IFERROR(MONTH(A13)=MONTH(Helper!$H$42),FALSE),SUM(Helper!$G$42:$G$72)-IF(AND(YEAR(A13)=GOD_OBR,MONTH(A13)=MJ_OBR),SUM_BOL_PB+SUM_HZZO_OSTALO_PB,0),_xlfn.XLOOKUP(A13,MJESECI,PB)-IF(AND(YEAR(A13)=GOD_OBR,MONTH(A13)=MJ_OBR),SUM_BOL_PB+SUM_HZZO_OSTALO_PB,0))</f>
        <v>16</v>
      </c>
      <c r="G13" s="28" cm="1">
        <f t="array" ref="G13">IF(AND(YEAR(A13)=GOD_OBR,MONTH(A13)=MJ_OBR),SUM_GO_SATI-SUM_GO_PB,0)</f>
        <v>0</v>
      </c>
      <c r="H13" s="28" cm="1">
        <f t="array" ref="H13">IF(AND(YEAR(A13)=GOD_OBR,MONTH(A13)=MJ_OBR),SUM_BOL_SATI,0)</f>
        <v>0</v>
      </c>
      <c r="I13" s="28">
        <f t="shared" ref="I13:I36" si="0">D13+E13+F13+G13+H13</f>
        <v>184</v>
      </c>
      <c r="J13" s="30" cm="1">
        <f t="array" ref="J13">IF(AND(YEAR(A13)=GOD_OBR,MONTH(A13)=MJ_OBR),SUM_HZZO_SATI,0)</f>
        <v>0</v>
      </c>
      <c r="K13" s="29">
        <f>_xlfn.XLOOKUP(A13,Helper!$A$2:$A$25,Helper!$B$2:$B$25)</f>
        <v>184</v>
      </c>
      <c r="T13" s="66"/>
      <c r="U13" s="74"/>
      <c r="V13" s="64"/>
      <c r="W13" s="64"/>
      <c r="X13" s="64"/>
    </row>
    <row r="14" spans="1:24" x14ac:dyDescent="0.25">
      <c r="A14" s="25">
        <v>45689</v>
      </c>
      <c r="B14" s="44">
        <f>IF(AND(YEAR(A14)=GOD_OBR,MONTH(A14)=MJ_OBR),'Kalkulacija plaće'!$G$2,1500)</f>
        <v>1500</v>
      </c>
      <c r="C14" s="44">
        <f>IF(AND(YEAR(A14)=GOD_OBR,MONTH(A14)=MJ_OBR),'Kalkulacija plaće'!$G$16,1062)</f>
        <v>1062</v>
      </c>
      <c r="D14" s="28" cm="1">
        <f t="array" ref="D14">IF(AND(YEAR(A14)=GOD_OBR,MONTH(A14)=MJ_OBR),SUM_RAD_SATI-SUM_RAD_PB,K14-F14)</f>
        <v>160</v>
      </c>
      <c r="E14" s="30"/>
      <c r="F14" s="39" cm="1">
        <f t="array" ref="F14">IF(IFERROR(MONTH(A14)=MONTH(Helper!$H$42),FALSE),SUM(Helper!$G$42:$G$72)-IF(AND(YEAR(A14)=GOD_OBR,MONTH(A14)=MJ_OBR),SUM_BOL_PB+SUM_HZZO_OSTALO_PB,0),_xlfn.XLOOKUP(A14,MJESECI,PB)-IF(AND(YEAR(A14)=GOD_OBR,MONTH(A14)=MJ_OBR),SUM_BOL_PB+SUM_HZZO_OSTALO_PB,0))</f>
        <v>0</v>
      </c>
      <c r="G14" s="28" cm="1">
        <f t="array" ref="G14">IF(AND(YEAR(A14)=GOD_OBR,MONTH(A14)=MJ_OBR),SUM_GO_SATI-SUM_GO_PB,0)</f>
        <v>0</v>
      </c>
      <c r="H14" s="28" cm="1">
        <f t="array" ref="H14">IF(AND(YEAR(A14)=GOD_OBR,MONTH(A14)=MJ_OBR),SUM_BOL_SATI,0)</f>
        <v>0</v>
      </c>
      <c r="I14" s="28">
        <f t="shared" si="0"/>
        <v>160</v>
      </c>
      <c r="J14" s="30" cm="1">
        <f t="array" ref="J14">IF(AND(YEAR(A14)=GOD_OBR,MONTH(A14)=MJ_OBR),SUM_HZZO_SATI,0)</f>
        <v>0</v>
      </c>
      <c r="K14" s="29">
        <f>_xlfn.XLOOKUP(A14,Helper!$A$2:$A$25,Helper!$B$2:$B$25)</f>
        <v>160</v>
      </c>
      <c r="P14" s="64"/>
      <c r="U14" s="74"/>
    </row>
    <row r="15" spans="1:24" x14ac:dyDescent="0.25">
      <c r="A15" s="24">
        <v>45717</v>
      </c>
      <c r="B15" s="44">
        <f>IF(AND(YEAR(A15)=GOD_OBR,MONTH(A15)=MJ_OBR),'Kalkulacija plaće'!$G$2,1500)</f>
        <v>1500</v>
      </c>
      <c r="C15" s="44">
        <f>IF(AND(YEAR(A15)=GOD_OBR,MONTH(A15)=MJ_OBR),'Kalkulacija plaće'!$G$16,1062)</f>
        <v>1062</v>
      </c>
      <c r="D15" s="28" cm="1">
        <f t="array" ref="D15">IF(AND(YEAR(A15)=GOD_OBR,MONTH(A15)=MJ_OBR),SUM_RAD_SATI-SUM_RAD_PB,K15-F15)</f>
        <v>168</v>
      </c>
      <c r="E15" s="30"/>
      <c r="F15" s="39" cm="1">
        <f t="array" ref="F15">IF(IFERROR(MONTH(A15)=MONTH(Helper!$H$42),FALSE),SUM(Helper!$G$42:$G$72)-IF(AND(YEAR(A15)=GOD_OBR,MONTH(A15)=MJ_OBR),SUM_BOL_PB+SUM_HZZO_OSTALO_PB,0),_xlfn.XLOOKUP(A15,MJESECI,PB)-IF(AND(YEAR(A15)=GOD_OBR,MONTH(A15)=MJ_OBR),SUM_BOL_PB+SUM_HZZO_OSTALO_PB,0))</f>
        <v>0</v>
      </c>
      <c r="G15" s="28" cm="1">
        <f t="array" ref="G15">IF(AND(YEAR(A15)=GOD_OBR,MONTH(A15)=MJ_OBR),SUM_GO_SATI-SUM_GO_PB,0)</f>
        <v>0</v>
      </c>
      <c r="H15" s="28" cm="1">
        <f t="array" ref="H15">IF(AND(YEAR(A15)=GOD_OBR,MONTH(A15)=MJ_OBR),SUM_BOL_SATI,0)</f>
        <v>0</v>
      </c>
      <c r="I15" s="28">
        <f t="shared" si="0"/>
        <v>168</v>
      </c>
      <c r="J15" s="30" cm="1">
        <f t="array" ref="J15">IF(AND(YEAR(A15)=GOD_OBR,MONTH(A15)=MJ_OBR),SUM_HZZO_SATI,0)</f>
        <v>0</v>
      </c>
      <c r="K15" s="29">
        <f>_xlfn.XLOOKUP(A15,Helper!$A$2:$A$25,Helper!$B$2:$B$25)</f>
        <v>168</v>
      </c>
      <c r="P15" s="64"/>
      <c r="T15" s="64"/>
      <c r="U15" s="74"/>
    </row>
    <row r="16" spans="1:24" x14ac:dyDescent="0.25">
      <c r="A16" s="25">
        <v>45748</v>
      </c>
      <c r="B16" s="44">
        <f>IF(AND(YEAR(A16)=GOD_OBR,MONTH(A16)=MJ_OBR),'Kalkulacija plaće'!$G$2,1500)</f>
        <v>1500</v>
      </c>
      <c r="C16" s="44">
        <f>IF(AND(YEAR(A16)=GOD_OBR,MONTH(A16)=MJ_OBR),'Kalkulacija plaće'!$G$16,1062)</f>
        <v>1062</v>
      </c>
      <c r="D16" s="28" cm="1">
        <f t="array" ref="D16">IF(AND(YEAR(A16)=GOD_OBR,MONTH(A16)=MJ_OBR),SUM_RAD_SATI-SUM_RAD_PB,K16-F16)</f>
        <v>168</v>
      </c>
      <c r="E16" s="30"/>
      <c r="F16" s="39" cm="1">
        <f t="array" ref="F16">IF(IFERROR(MONTH(A16)=MONTH(Helper!$H$42),FALSE),SUM(Helper!$G$42:$G$72)-IF(AND(YEAR(A16)=GOD_OBR,MONTH(A16)=MJ_OBR),SUM_BOL_PB+SUM_HZZO_OSTALO_PB,0),_xlfn.XLOOKUP(A16,MJESECI,PB)-IF(AND(YEAR(A16)=GOD_OBR,MONTH(A16)=MJ_OBR),SUM_BOL_PB+SUM_HZZO_OSTALO_PB,0))</f>
        <v>8</v>
      </c>
      <c r="G16" s="28" cm="1">
        <f t="array" ref="G16">IF(AND(YEAR(A16)=GOD_OBR,MONTH(A16)=MJ_OBR),SUM_GO_SATI-SUM_GO_PB,0)</f>
        <v>0</v>
      </c>
      <c r="H16" s="28" cm="1">
        <f t="array" ref="H16">IF(AND(YEAR(A16)=GOD_OBR,MONTH(A16)=MJ_OBR),SUM_BOL_SATI,0)</f>
        <v>0</v>
      </c>
      <c r="I16" s="28">
        <f t="shared" si="0"/>
        <v>176</v>
      </c>
      <c r="J16" s="30" cm="1">
        <f t="array" ref="J16">IF(AND(YEAR(A16)=GOD_OBR,MONTH(A16)=MJ_OBR),SUM_HZZO_SATI,0)</f>
        <v>0</v>
      </c>
      <c r="K16" s="29">
        <f>_xlfn.XLOOKUP(A16,Helper!$A$2:$A$25,Helper!$B$2:$B$25)</f>
        <v>176</v>
      </c>
      <c r="P16" s="64"/>
    </row>
    <row r="17" spans="1:16" ht="14.25" customHeight="1" x14ac:dyDescent="0.25">
      <c r="A17" s="24">
        <v>45778</v>
      </c>
      <c r="B17" s="44">
        <f>IF(AND(YEAR(A17)=GOD_OBR,MONTH(A17)=MJ_OBR),'Kalkulacija plaće'!$G$2,1500)</f>
        <v>1500</v>
      </c>
      <c r="C17" s="44">
        <f>IF(AND(YEAR(A17)=GOD_OBR,MONTH(A17)=MJ_OBR),'Kalkulacija plaće'!$G$16,1062)</f>
        <v>1062</v>
      </c>
      <c r="D17" s="28" cm="1">
        <f t="array" ref="D17">IF(AND(YEAR(A17)=GOD_OBR,MONTH(A17)=MJ_OBR),SUM_RAD_SATI-SUM_RAD_PB,K17-F17)</f>
        <v>160</v>
      </c>
      <c r="E17" s="30"/>
      <c r="F17" s="39" cm="1">
        <f t="array" ref="F17">IF(IFERROR(MONTH(A17)=MONTH(Helper!$H$42),FALSE),SUM(Helper!$G$42:$G$72)-IF(AND(YEAR(A17)=GOD_OBR,MONTH(A17)=MJ_OBR),SUM_BOL_PB+SUM_HZZO_OSTALO_PB,0),_xlfn.XLOOKUP(A17,MJESECI,PB)-IF(AND(YEAR(A17)=GOD_OBR,MONTH(A17)=MJ_OBR),SUM_BOL_PB+SUM_HZZO_OSTALO_PB,0))</f>
        <v>16</v>
      </c>
      <c r="G17" s="28" cm="1">
        <f t="array" ref="G17">IF(AND(YEAR(A17)=GOD_OBR,MONTH(A17)=MJ_OBR),SUM_GO_SATI-SUM_GO_PB,0)</f>
        <v>0</v>
      </c>
      <c r="H17" s="28" cm="1">
        <f t="array" ref="H17">IF(AND(YEAR(A17)=GOD_OBR,MONTH(A17)=MJ_OBR),SUM_BOL_SATI,0)</f>
        <v>0</v>
      </c>
      <c r="I17" s="28">
        <f t="shared" si="0"/>
        <v>176</v>
      </c>
      <c r="J17" s="30" cm="1">
        <f t="array" ref="J17">IF(AND(YEAR(A17)=GOD_OBR,MONTH(A17)=MJ_OBR),SUM_HZZO_SATI,0)</f>
        <v>0</v>
      </c>
      <c r="K17" s="29">
        <f>_xlfn.XLOOKUP(A17,Helper!$A$2:$A$25,Helper!$B$2:$B$25)</f>
        <v>176</v>
      </c>
      <c r="P17" s="64"/>
    </row>
    <row r="18" spans="1:16" x14ac:dyDescent="0.25">
      <c r="A18" s="25">
        <v>45809</v>
      </c>
      <c r="B18" s="44">
        <f>IF(AND(YEAR(A18)=GOD_OBR,MONTH(A18)=MJ_OBR),'Kalkulacija plaće'!$G$2,1500)</f>
        <v>1500</v>
      </c>
      <c r="C18" s="44">
        <f>IF(AND(YEAR(A18)=GOD_OBR,MONTH(A18)=MJ_OBR),'Kalkulacija plaće'!$G$16,1062)</f>
        <v>1062</v>
      </c>
      <c r="D18" s="28" cm="1">
        <f t="array" ref="D18">IF(AND(YEAR(A18)=GOD_OBR,MONTH(A18)=MJ_OBR),SUM_RAD_SATI-SUM_RAD_PB,K18-F18)</f>
        <v>160</v>
      </c>
      <c r="E18" s="30"/>
      <c r="F18" s="39" cm="1">
        <f t="array" ref="F18">IF(IFERROR(MONTH(A18)=MONTH(Helper!$H$42),FALSE),SUM(Helper!$G$42:$G$72)-IF(AND(YEAR(A18)=GOD_OBR,MONTH(A18)=MJ_OBR),SUM_BOL_PB+SUM_HZZO_OSTALO_PB,0),_xlfn.XLOOKUP(A18,MJESECI,PB)-IF(AND(YEAR(A18)=GOD_OBR,MONTH(A18)=MJ_OBR),SUM_BOL_PB+SUM_HZZO_OSTALO_PB,0))</f>
        <v>8</v>
      </c>
      <c r="G18" s="28" cm="1">
        <f t="array" ref="G18">IF(AND(YEAR(A18)=GOD_OBR,MONTH(A18)=MJ_OBR),SUM_GO_SATI-SUM_GO_PB,0)</f>
        <v>0</v>
      </c>
      <c r="H18" s="28" cm="1">
        <f t="array" ref="H18">IF(AND(YEAR(A18)=GOD_OBR,MONTH(A18)=MJ_OBR),SUM_BOL_SATI,0)</f>
        <v>0</v>
      </c>
      <c r="I18" s="28">
        <f t="shared" si="0"/>
        <v>168</v>
      </c>
      <c r="J18" s="30" cm="1">
        <f t="array" ref="J18">IF(AND(YEAR(A18)=GOD_OBR,MONTH(A18)=MJ_OBR),SUM_HZZO_SATI,0)</f>
        <v>0</v>
      </c>
      <c r="K18" s="29">
        <f>_xlfn.XLOOKUP(A18,Helper!$A$2:$A$25,Helper!$B$2:$B$25)</f>
        <v>168</v>
      </c>
      <c r="P18" s="64"/>
    </row>
    <row r="19" spans="1:16" ht="14.25" customHeight="1" x14ac:dyDescent="0.25">
      <c r="A19" s="24">
        <v>45839</v>
      </c>
      <c r="B19" s="44">
        <f>IF(AND(YEAR(A19)=GOD_OBR,MONTH(A19)=MJ_OBR),'Kalkulacija plaće'!$G$2,1500)</f>
        <v>1500</v>
      </c>
      <c r="C19" s="44">
        <f>IF(AND(YEAR(A19)=GOD_OBR,MONTH(A19)=MJ_OBR),'Kalkulacija plaće'!$G$16,1062)</f>
        <v>1062</v>
      </c>
      <c r="D19" s="28" cm="1">
        <f t="array" ref="D19">IF(AND(YEAR(A19)=GOD_OBR,MONTH(A19)=MJ_OBR),SUM_RAD_SATI-SUM_RAD_PB,K19-F19)</f>
        <v>184</v>
      </c>
      <c r="E19" s="30"/>
      <c r="F19" s="39" cm="1">
        <f t="array" ref="F19">IF(IFERROR(MONTH(A19)=MONTH(Helper!$H$42),FALSE),SUM(Helper!$G$42:$G$72)-IF(AND(YEAR(A19)=GOD_OBR,MONTH(A19)=MJ_OBR),SUM_BOL_PB+SUM_HZZO_OSTALO_PB,0),_xlfn.XLOOKUP(A19,MJESECI,PB)-IF(AND(YEAR(A19)=GOD_OBR,MONTH(A19)=MJ_OBR),SUM_BOL_PB+SUM_HZZO_OSTALO_PB,0))</f>
        <v>0</v>
      </c>
      <c r="G19" s="28" cm="1">
        <f t="array" ref="G19">IF(AND(YEAR(A19)=GOD_OBR,MONTH(A19)=MJ_OBR),SUM_GO_SATI-SUM_GO_PB,0)</f>
        <v>0</v>
      </c>
      <c r="H19" s="28" cm="1">
        <f t="array" ref="H19">IF(AND(YEAR(A19)=GOD_OBR,MONTH(A19)=MJ_OBR),SUM_BOL_SATI,0)</f>
        <v>0</v>
      </c>
      <c r="I19" s="28">
        <f t="shared" si="0"/>
        <v>184</v>
      </c>
      <c r="J19" s="30" cm="1">
        <f t="array" ref="J19">IF(AND(YEAR(A19)=GOD_OBR,MONTH(A19)=MJ_OBR),SUM_HZZO_SATI,0)</f>
        <v>0</v>
      </c>
      <c r="K19" s="29">
        <f>_xlfn.XLOOKUP(A19,Helper!$A$2:$A$25,Helper!$B$2:$B$25)</f>
        <v>184</v>
      </c>
      <c r="P19" s="64"/>
    </row>
    <row r="20" spans="1:16" x14ac:dyDescent="0.25">
      <c r="A20" s="25">
        <v>45870</v>
      </c>
      <c r="B20" s="44">
        <f>IF(AND(YEAR(A20)=GOD_OBR,MONTH(A20)=MJ_OBR),'Kalkulacija plaće'!$G$2,1500)</f>
        <v>1500</v>
      </c>
      <c r="C20" s="44">
        <f>IF(AND(YEAR(A20)=GOD_OBR,MONTH(A20)=MJ_OBR),'Kalkulacija plaće'!$G$16,1062)</f>
        <v>1062</v>
      </c>
      <c r="D20" s="28" cm="1">
        <f t="array" ref="D20">IF(AND(YEAR(A20)=GOD_OBR,MONTH(A20)=MJ_OBR),SUM_RAD_SATI-SUM_RAD_PB,K20-F20)</f>
        <v>152</v>
      </c>
      <c r="E20" s="30"/>
      <c r="F20" s="39" cm="1">
        <f t="array" ref="F20">IF(IFERROR(MONTH(A20)=MONTH(Helper!$H$42),FALSE),SUM(Helper!$G$42:$G$72)-IF(AND(YEAR(A20)=GOD_OBR,MONTH(A20)=MJ_OBR),SUM_BOL_PB+SUM_HZZO_OSTALO_PB,0),_xlfn.XLOOKUP(A20,MJESECI,PB)-IF(AND(YEAR(A20)=GOD_OBR,MONTH(A20)=MJ_OBR),SUM_BOL_PB+SUM_HZZO_OSTALO_PB,0))</f>
        <v>16</v>
      </c>
      <c r="G20" s="28" cm="1">
        <f t="array" ref="G20">IF(AND(YEAR(A20)=GOD_OBR,MONTH(A20)=MJ_OBR),SUM_GO_SATI-SUM_GO_PB,0)</f>
        <v>0</v>
      </c>
      <c r="H20" s="28" cm="1">
        <f t="array" ref="H20">IF(AND(YEAR(A20)=GOD_OBR,MONTH(A20)=MJ_OBR),SUM_BOL_SATI,0)</f>
        <v>0</v>
      </c>
      <c r="I20" s="28">
        <f t="shared" si="0"/>
        <v>168</v>
      </c>
      <c r="J20" s="30" cm="1">
        <f t="array" ref="J20">IF(AND(YEAR(A20)=GOD_OBR,MONTH(A20)=MJ_OBR),SUM_HZZO_SATI,0)</f>
        <v>0</v>
      </c>
      <c r="K20" s="29">
        <f>_xlfn.XLOOKUP(A20,Helper!$A$2:$A$25,Helper!$B$2:$B$25)</f>
        <v>168</v>
      </c>
      <c r="P20" s="64"/>
    </row>
    <row r="21" spans="1:16" ht="14.25" customHeight="1" x14ac:dyDescent="0.25">
      <c r="A21" s="24">
        <v>45901</v>
      </c>
      <c r="B21" s="44">
        <f>IF(AND(YEAR(A21)=GOD_OBR,MONTH(A21)=MJ_OBR),'Kalkulacija plaće'!$G$2,1500)</f>
        <v>1500</v>
      </c>
      <c r="C21" s="44">
        <f>IF(AND(YEAR(A21)=GOD_OBR,MONTH(A21)=MJ_OBR),'Kalkulacija plaće'!$G$16,1062)</f>
        <v>1062</v>
      </c>
      <c r="D21" s="28" cm="1">
        <f t="array" ref="D21">IF(AND(YEAR(A21)=GOD_OBR,MONTH(A21)=MJ_OBR),SUM_RAD_SATI-SUM_RAD_PB,K21-F21)</f>
        <v>176</v>
      </c>
      <c r="E21" s="30"/>
      <c r="F21" s="39" cm="1">
        <f t="array" ref="F21">IF(IFERROR(MONTH(A21)=MONTH(Helper!$H$42),FALSE),SUM(Helper!$G$42:$G$72)-IF(AND(YEAR(A21)=GOD_OBR,MONTH(A21)=MJ_OBR),SUM_BOL_PB+SUM_HZZO_OSTALO_PB,0),_xlfn.XLOOKUP(A21,MJESECI,PB)-IF(AND(YEAR(A21)=GOD_OBR,MONTH(A21)=MJ_OBR),SUM_BOL_PB+SUM_HZZO_OSTALO_PB,0))</f>
        <v>0</v>
      </c>
      <c r="G21" s="28" cm="1">
        <f t="array" ref="G21">IF(AND(YEAR(A21)=GOD_OBR,MONTH(A21)=MJ_OBR),SUM_GO_SATI-SUM_GO_PB,0)</f>
        <v>0</v>
      </c>
      <c r="H21" s="28" cm="1">
        <f t="array" ref="H21">IF(AND(YEAR(A21)=GOD_OBR,MONTH(A21)=MJ_OBR),SUM_BOL_SATI,0)</f>
        <v>0</v>
      </c>
      <c r="I21" s="28">
        <f t="shared" si="0"/>
        <v>176</v>
      </c>
      <c r="J21" s="30" cm="1">
        <f t="array" ref="J21">IF(AND(YEAR(A21)=GOD_OBR,MONTH(A21)=MJ_OBR),SUM_HZZO_SATI,0)</f>
        <v>0</v>
      </c>
      <c r="K21" s="29">
        <f>_xlfn.XLOOKUP(A21,Helper!$A$2:$A$25,Helper!$B$2:$B$25)</f>
        <v>176</v>
      </c>
      <c r="P21" s="64"/>
    </row>
    <row r="22" spans="1:16" x14ac:dyDescent="0.25">
      <c r="A22" s="25">
        <v>45931</v>
      </c>
      <c r="B22" s="44">
        <f>IF(AND(YEAR(A22)=GOD_OBR,MONTH(A22)=MJ_OBR),'Kalkulacija plaće'!$G$2,0)</f>
        <v>0</v>
      </c>
      <c r="C22" s="44">
        <f>IF(AND(YEAR(A22)=Obracunski_sati!$B$2,MONTH(A22)=Obracunski_sati!$C$2),'Kalkulacija plaće'!$G$16,0)</f>
        <v>0</v>
      </c>
      <c r="D22" s="28" cm="1">
        <f t="array" ref="D22">IF(AND(YEAR(A22)=GOD_OBR,MONTH(A22)=MJ_OBR),SUM_RAD_SATI-SUM_RAD_PB,0)</f>
        <v>0</v>
      </c>
      <c r="E22" s="30"/>
      <c r="F22" s="39" cm="1">
        <f t="array" ref="F22">IF(IFERROR(MONTH(A22)=MONTH(Helper!$H$42),FALSE),SUM(Helper!$G$42:$G$72)-IF(AND(YEAR(A22)=GOD_OBR,MONTH(A22)=MJ_OBR),SUM_BOL_PB+SUM_HZZO_OSTALO_PB,0),_xlfn.XLOOKUP(A22,MJESECI,PB)-IF(AND(YEAR(A22)=GOD_OBR,MONTH(A22)=MJ_OBR),SUM_BOL_PB+SUM_HZZO_OSTALO_PB,0))</f>
        <v>0</v>
      </c>
      <c r="G22" s="28" cm="1">
        <f t="array" ref="G22">IF(AND(YEAR(A22)=GOD_OBR,MONTH(A22)=MJ_OBR),SUM_GO_SATI-SUM_GO_PB,0)</f>
        <v>0</v>
      </c>
      <c r="H22" s="28" cm="1">
        <f t="array" ref="H22">IF(AND(YEAR(A22)=GOD_OBR,MONTH(A22)=MJ_OBR),SUM_BOL_SATI-SUM_BOL_PB,0)</f>
        <v>0</v>
      </c>
      <c r="I22" s="28">
        <f t="shared" si="0"/>
        <v>0</v>
      </c>
      <c r="J22" s="30" cm="1">
        <f t="array" ref="J22">IF(AND(YEAR(A22)=GOD_OBR,MONTH(A22)=MJ_OBR),SUM_HZZO_SATI,0)</f>
        <v>0</v>
      </c>
      <c r="K22" s="29">
        <f>_xlfn.XLOOKUP(A22,Helper!$A$2:$A$25,Helper!$B$2:$B$25)</f>
        <v>184</v>
      </c>
      <c r="P22" s="64"/>
    </row>
    <row r="23" spans="1:16" x14ac:dyDescent="0.25">
      <c r="A23" s="24">
        <v>45962</v>
      </c>
      <c r="B23" s="44">
        <f>IF(AND(YEAR(A23)=GOD_OBR,MONTH(A23)=MJ_OBR),'Kalkulacija plaće'!$G$2,0)</f>
        <v>0</v>
      </c>
      <c r="C23" s="44">
        <f>IF(AND(YEAR(A23)=Obracunski_sati!$B$2,MONTH(A23)=Obracunski_sati!$C$2),'Kalkulacija plaće'!$G$16,0)</f>
        <v>0</v>
      </c>
      <c r="D23" s="28" cm="1">
        <f t="array" ref="D23">IF(AND(YEAR(A23)=GOD_OBR,MONTH(A23)=MJ_OBR),SUM_RAD_SATI-SUM_RAD_PB,0)</f>
        <v>0</v>
      </c>
      <c r="E23" s="30"/>
      <c r="F23" s="39" cm="1">
        <f t="array" ref="F23">IF(IFERROR(MONTH(A23)=MONTH(Helper!$H$42),FALSE),SUM(Helper!$G$42:$G$72)-IF(AND(YEAR(A23)=GOD_OBR,MONTH(A23)=MJ_OBR),SUM_BOL_PB+SUM_HZZO_OSTALO_PB,0),_xlfn.XLOOKUP(A23,MJESECI,PB)-IF(AND(YEAR(A23)=GOD_OBR,MONTH(A23)=MJ_OBR),SUM_BOL_PB+SUM_HZZO_OSTALO_PB,0))</f>
        <v>8</v>
      </c>
      <c r="G23" s="28" cm="1">
        <f t="array" ref="G23">IF(AND(YEAR(A23)=GOD_OBR,MONTH(A23)=MJ_OBR),SUM_GO_SATI-SUM_GO_PB,0)</f>
        <v>0</v>
      </c>
      <c r="H23" s="28" cm="1">
        <f t="array" ref="H23">IF(AND(YEAR(A23)=GOD_OBR,MONTH(A23)=MJ_OBR),SUM_BOL_SATI-SUM_BOL_PB,0)</f>
        <v>0</v>
      </c>
      <c r="I23" s="28">
        <f t="shared" si="0"/>
        <v>8</v>
      </c>
      <c r="J23" s="30" cm="1">
        <f t="array" ref="J23">IF(AND(YEAR(A23)=GOD_OBR,MONTH(A23)=MJ_OBR),SUM_HZZO_SATI,0)</f>
        <v>0</v>
      </c>
      <c r="K23" s="29">
        <f>_xlfn.XLOOKUP(A23,Helper!$A$2:$A$25,Helper!$B$2:$B$25)</f>
        <v>160</v>
      </c>
      <c r="P23" s="64"/>
    </row>
    <row r="24" spans="1:16" x14ac:dyDescent="0.25">
      <c r="A24" s="25">
        <v>45992</v>
      </c>
      <c r="B24" s="50">
        <f>IF(AND(YEAR(A24)=GOD_OBR,MONTH(A24)=MJ_OBR),'Kalkulacija plaće'!$G$2,0)</f>
        <v>0</v>
      </c>
      <c r="C24" s="50">
        <f>IF(AND(YEAR(A24)=Obracunski_sati!$B$2,MONTH(A24)=Obracunski_sati!$C$2),'Kalkulacija plaće'!$G$16,0)</f>
        <v>0</v>
      </c>
      <c r="D24" s="31" cm="1">
        <f t="array" ref="D24">IF(AND(YEAR(A24)=GOD_OBR,MONTH(A24)=MJ_OBR),SUM_RAD_SATI-SUM_RAD_PB,0)</f>
        <v>0</v>
      </c>
      <c r="E24" s="51"/>
      <c r="F24" s="40" cm="1">
        <f t="array" ref="F24">IF(IFERROR(MONTH(A24)=MONTH(Helper!$H$42),FALSE),SUM(Helper!$G$42:$G$72)-IF(AND(YEAR(A24)=GOD_OBR,MONTH(A24)=MJ_OBR),SUM_BOL_PB+SUM_HZZO_OSTALO_PB,0),_xlfn.XLOOKUP(A24,MJESECI,PB)-IF(AND(YEAR(A24)=GOD_OBR,MONTH(A24)=MJ_OBR),SUM_BOL_PB+SUM_HZZO_OSTALO_PB,0))</f>
        <v>16</v>
      </c>
      <c r="G24" s="31" cm="1">
        <f t="array" ref="G24">IF(AND(YEAR(A24)=GOD_OBR,MONTH(A24)=MJ_OBR),SUM_GO_SATI-SUM_GO_PB,0)</f>
        <v>0</v>
      </c>
      <c r="H24" s="31" cm="1">
        <f t="array" ref="H24">IF(AND(YEAR(A24)=GOD_OBR,MONTH(A24)=MJ_OBR),SUM_BOL_SATI-SUM_BOL_PB,0)</f>
        <v>0</v>
      </c>
      <c r="I24" s="31">
        <f t="shared" si="0"/>
        <v>16</v>
      </c>
      <c r="J24" s="31" cm="1">
        <f t="array" ref="J24">IF(AND(YEAR(A24)=GOD_OBR,MONTH(A24)=MJ_OBR),SUM_HZZO_SATI,0)</f>
        <v>0</v>
      </c>
      <c r="K24" s="32">
        <f>_xlfn.XLOOKUP(A24,Helper!$A$2:$A$25,Helper!$B$2:$B$25)</f>
        <v>184</v>
      </c>
      <c r="P24" s="64"/>
    </row>
    <row r="25" spans="1:16" x14ac:dyDescent="0.25">
      <c r="A25" s="26">
        <v>46023</v>
      </c>
      <c r="B25" s="44">
        <f>IF(AND(YEAR(A25)=GOD_OBR,MONTH(A25)=MJ_OBR),'Kalkulacija plaće'!$G$2,0)</f>
        <v>0</v>
      </c>
      <c r="C25" s="44">
        <f>IF(AND(YEAR(A25)=Obracunski_sati!$B$2,MONTH(A25)=Obracunski_sati!$C$2),'Kalkulacija plaće'!$G$16,0)</f>
        <v>0</v>
      </c>
      <c r="D25" s="28" cm="1">
        <f t="array" ref="D25">IF(AND(YEAR(A25)=GOD_OBR,MONTH(A25)=MJ_OBR),SUM_RAD_SATI-SUM_RAD_PB,0)</f>
        <v>0</v>
      </c>
      <c r="E25" s="52"/>
      <c r="F25" s="39" cm="1">
        <f t="array" ref="F25">IF(IFERROR(MONTH(A25)=MONTH(Helper!$H$42),FALSE),SUM(Helper!$G$42:$G$72)-IF(AND(YEAR(A25)=GOD_OBR,MONTH(A25)=MJ_OBR),SUM_BOL_PB+SUM_HZZO_OSTALO_PB,0),_xlfn.XLOOKUP(A25,MJESECI,PB)-IF(AND(YEAR(A25)=GOD_OBR,MONTH(A25)=MJ_OBR),SUM_BOL_PB+SUM_HZZO_OSTALO_PB,0))</f>
        <v>16</v>
      </c>
      <c r="G25" s="28" cm="1">
        <f t="array" ref="G25">IF(AND(YEAR(A25)=GOD_OBR,MONTH(A25)=MJ_OBR),SUM_GO_SATI-SUM_GO_PB,0)</f>
        <v>0</v>
      </c>
      <c r="H25" s="28" cm="1">
        <f t="array" ref="H25">IF(AND(YEAR(A25)=GOD_OBR,MONTH(A25)=MJ_OBR),SUM_BOL_SATI-SUM_BOL_PB,0)</f>
        <v>0</v>
      </c>
      <c r="I25" s="28">
        <f t="shared" si="0"/>
        <v>16</v>
      </c>
      <c r="J25" s="28" cm="1">
        <f t="array" ref="J25">IF(AND(YEAR(A25)=GOD_OBR,MONTH(A25)=MJ_OBR),SUM_HZZO_SATI,0)</f>
        <v>0</v>
      </c>
      <c r="K25" s="29">
        <f>_xlfn.XLOOKUP(A25,Helper!$A$2:$A$25,Helper!$B$2:$B$25)</f>
        <v>176</v>
      </c>
      <c r="P25" s="64"/>
    </row>
    <row r="26" spans="1:16" x14ac:dyDescent="0.25">
      <c r="A26" s="25">
        <v>46054</v>
      </c>
      <c r="B26" s="44">
        <f>IF(AND(YEAR(A26)=GOD_OBR,MONTH(A26)=MJ_OBR),'Kalkulacija plaće'!$G$2,0)</f>
        <v>0</v>
      </c>
      <c r="C26" s="44">
        <f>IF(AND(YEAR(A26)=Obracunski_sati!$B$2,MONTH(A26)=Obracunski_sati!$C$2),'Kalkulacija plaće'!$G$16,0)</f>
        <v>0</v>
      </c>
      <c r="D26" s="28" cm="1">
        <f t="array" ref="D26">IF(AND(YEAR(A26)=GOD_OBR,MONTH(A26)=MJ_OBR),SUM_RAD_SATI-SUM_RAD_PB,0)</f>
        <v>0</v>
      </c>
      <c r="E26" s="30"/>
      <c r="F26" s="39" cm="1">
        <f t="array" ref="F26">IF(IFERROR(MONTH(A26)=MONTH(Helper!$H$42),FALSE),SUM(Helper!$G$42:$G$72)-IF(AND(YEAR(A26)=GOD_OBR,MONTH(A26)=MJ_OBR),SUM_BOL_PB+SUM_HZZO_OSTALO_PB,0),_xlfn.XLOOKUP(A26,MJESECI,PB)-IF(AND(YEAR(A26)=GOD_OBR,MONTH(A26)=MJ_OBR),SUM_BOL_PB+SUM_HZZO_OSTALO_PB,0))</f>
        <v>0</v>
      </c>
      <c r="G26" s="28" cm="1">
        <f t="array" ref="G26">IF(AND(YEAR(A26)=GOD_OBR,MONTH(A26)=MJ_OBR),SUM_GO_SATI-SUM_GO_PB,0)</f>
        <v>0</v>
      </c>
      <c r="H26" s="28" cm="1">
        <f t="array" ref="H26">IF(AND(YEAR(A26)=GOD_OBR,MONTH(A26)=MJ_OBR),SUM_BOL_SATI-SUM_BOL_PB,0)</f>
        <v>0</v>
      </c>
      <c r="I26" s="28">
        <f t="shared" si="0"/>
        <v>0</v>
      </c>
      <c r="J26" s="30" cm="1">
        <f t="array" ref="J26">IF(AND(YEAR(A26)=GOD_OBR,MONTH(A26)=MJ_OBR),SUM_HZZO_SATI,0)</f>
        <v>0</v>
      </c>
      <c r="K26" s="29">
        <f>_xlfn.XLOOKUP(A26,Helper!$A$2:$A$25,Helper!$B$2:$B$25)</f>
        <v>160</v>
      </c>
      <c r="P26" s="64"/>
    </row>
    <row r="27" spans="1:16" x14ac:dyDescent="0.25">
      <c r="A27" s="25">
        <v>46082</v>
      </c>
      <c r="B27" s="44">
        <f>IF(AND(YEAR(A27)=GOD_OBR,MONTH(A27)=MJ_OBR),'Kalkulacija plaće'!$G$2,0)</f>
        <v>0</v>
      </c>
      <c r="C27" s="44">
        <f>IF(AND(YEAR(A27)=Obracunski_sati!$B$2,MONTH(A27)=Obracunski_sati!$C$2),'Kalkulacija plaće'!$G$16,0)</f>
        <v>0</v>
      </c>
      <c r="D27" s="28" cm="1">
        <f t="array" ref="D27">IF(AND(YEAR(A27)=GOD_OBR,MONTH(A27)=MJ_OBR),SUM_RAD_SATI-SUM_RAD_PB,0)</f>
        <v>0</v>
      </c>
      <c r="E27" s="30"/>
      <c r="F27" s="39" cm="1">
        <f t="array" ref="F27">IF(IFERROR(MONTH(A27)=MONTH(Helper!$H$42),FALSE),SUM(Helper!$G$42:$G$72)-IF(AND(YEAR(A27)=GOD_OBR,MONTH(A27)=MJ_OBR),SUM_BOL_PB+SUM_HZZO_OSTALO_PB,0),_xlfn.XLOOKUP(A27,MJESECI,PB)-IF(AND(YEAR(A27)=GOD_OBR,MONTH(A27)=MJ_OBR),SUM_BOL_PB+SUM_HZZO_OSTALO_PB,0))</f>
        <v>0</v>
      </c>
      <c r="G27" s="28" cm="1">
        <f t="array" ref="G27">IF(AND(YEAR(A27)=GOD_OBR,MONTH(A27)=MJ_OBR),SUM_GO_SATI-SUM_GO_PB,0)</f>
        <v>0</v>
      </c>
      <c r="H27" s="28" cm="1">
        <f t="array" ref="H27">IF(AND(YEAR(A27)=GOD_OBR,MONTH(A27)=MJ_OBR),SUM_BOL_SATI-SUM_BOL_PB,0)</f>
        <v>0</v>
      </c>
      <c r="I27" s="28">
        <f t="shared" si="0"/>
        <v>0</v>
      </c>
      <c r="J27" s="30" cm="1">
        <f t="array" ref="J27">IF(AND(YEAR(A27)=GOD_OBR,MONTH(A27)=MJ_OBR),SUM_HZZO_SATI,0)</f>
        <v>0</v>
      </c>
      <c r="K27" s="29">
        <f>_xlfn.XLOOKUP(A27,Helper!$A$2:$A$25,Helper!$B$2:$B$25)</f>
        <v>176</v>
      </c>
      <c r="P27" s="64"/>
    </row>
    <row r="28" spans="1:16" x14ac:dyDescent="0.25">
      <c r="A28" s="25">
        <v>46113</v>
      </c>
      <c r="B28" s="44">
        <f>IF(AND(YEAR(A28)=GOD_OBR,MONTH(A28)=MJ_OBR),'Kalkulacija plaće'!$G$2,0)</f>
        <v>0</v>
      </c>
      <c r="C28" s="44">
        <f>IF(AND(YEAR(A28)=Obracunski_sati!$B$2,MONTH(A28)=Obracunski_sati!$C$2),'Kalkulacija plaće'!$G$16,0)</f>
        <v>0</v>
      </c>
      <c r="D28" s="28" cm="1">
        <f t="array" ref="D28">IF(AND(YEAR(A28)=GOD_OBR,MONTH(A28)=MJ_OBR),SUM_RAD_SATI-SUM_RAD_PB,0)</f>
        <v>0</v>
      </c>
      <c r="E28" s="30"/>
      <c r="F28" s="39" cm="1">
        <f t="array" ref="F28">IF(IFERROR(MONTH(A28)=MONTH(Helper!$H$42),FALSE),SUM(Helper!$G$42:$G$72)-IF(AND(YEAR(A28)=GOD_OBR,MONTH(A28)=MJ_OBR),SUM_BOL_PB+SUM_HZZO_OSTALO_PB,0),_xlfn.XLOOKUP(A28,MJESECI,PB)-IF(AND(YEAR(A28)=GOD_OBR,MONTH(A28)=MJ_OBR),SUM_BOL_PB+SUM_HZZO_OSTALO_PB,0))</f>
        <v>8</v>
      </c>
      <c r="G28" s="28" cm="1">
        <f t="array" ref="G28">IF(AND(YEAR(A28)=GOD_OBR,MONTH(A28)=MJ_OBR),SUM_GO_SATI-SUM_GO_PB,0)</f>
        <v>0</v>
      </c>
      <c r="H28" s="28" cm="1">
        <f t="array" ref="H28">IF(AND(YEAR(A28)=GOD_OBR,MONTH(A28)=MJ_OBR),SUM_BOL_SATI-SUM_BOL_PB,0)</f>
        <v>0</v>
      </c>
      <c r="I28" s="28">
        <f t="shared" si="0"/>
        <v>8</v>
      </c>
      <c r="J28" s="30" cm="1">
        <f t="array" ref="J28">IF(AND(YEAR(A28)=GOD_OBR,MONTH(A28)=MJ_OBR),SUM_HZZO_SATI,0)</f>
        <v>0</v>
      </c>
      <c r="K28" s="29">
        <f>_xlfn.XLOOKUP(A28,Helper!$A$2:$A$25,Helper!$B$2:$B$25)</f>
        <v>176</v>
      </c>
      <c r="P28" s="64"/>
    </row>
    <row r="29" spans="1:16" x14ac:dyDescent="0.25">
      <c r="A29" s="25">
        <v>46143</v>
      </c>
      <c r="B29" s="44">
        <f>IF(AND(YEAR(A29)=GOD_OBR,MONTH(A29)=MJ_OBR),'Kalkulacija plaće'!$G$2,0)</f>
        <v>0</v>
      </c>
      <c r="C29" s="44">
        <f>IF(AND(YEAR(A29)=Obracunski_sati!$B$2,MONTH(A29)=Obracunski_sati!$C$2),'Kalkulacija plaće'!$G$16,0)</f>
        <v>0</v>
      </c>
      <c r="D29" s="28" cm="1">
        <f t="array" ref="D29">IF(AND(YEAR(A29)=GOD_OBR,MONTH(A29)=MJ_OBR),SUM_RAD_SATI-SUM_RAD_PB,0)</f>
        <v>0</v>
      </c>
      <c r="E29" s="30"/>
      <c r="F29" s="39" cm="1">
        <f t="array" ref="F29">IF(IFERROR(MONTH(A29)=MONTH(Helper!$H$42),FALSE),SUM(Helper!$G$42:$G$72)-IF(AND(YEAR(A29)=GOD_OBR,MONTH(A29)=MJ_OBR),SUM_BOL_PB+SUM_HZZO_OSTALO_PB,0),_xlfn.XLOOKUP(A29,MJESECI,PB)-IF(AND(YEAR(A29)=GOD_OBR,MONTH(A29)=MJ_OBR),SUM_BOL_PB+SUM_HZZO_OSTALO_PB,0))</f>
        <v>8</v>
      </c>
      <c r="G29" s="28" cm="1">
        <f t="array" ref="G29">IF(AND(YEAR(A29)=GOD_OBR,MONTH(A29)=MJ_OBR),SUM_GO_SATI-SUM_GO_PB,0)</f>
        <v>0</v>
      </c>
      <c r="H29" s="28" cm="1">
        <f t="array" ref="H29">IF(AND(YEAR(A29)=GOD_OBR,MONTH(A29)=MJ_OBR),SUM_BOL_SATI-SUM_BOL_PB,0)</f>
        <v>0</v>
      </c>
      <c r="I29" s="28">
        <f t="shared" si="0"/>
        <v>8</v>
      </c>
      <c r="J29" s="30" cm="1">
        <f t="array" ref="J29">IF(AND(YEAR(A29)=GOD_OBR,MONTH(A29)=MJ_OBR),SUM_HZZO_SATI,0)</f>
        <v>0</v>
      </c>
      <c r="K29" s="29">
        <f>_xlfn.XLOOKUP(A29,Helper!$A$2:$A$25,Helper!$B$2:$B$25)</f>
        <v>168</v>
      </c>
      <c r="P29" s="64"/>
    </row>
    <row r="30" spans="1:16" x14ac:dyDescent="0.25">
      <c r="A30" s="25">
        <v>46174</v>
      </c>
      <c r="B30" s="44">
        <f>IF(AND(YEAR(A30)=GOD_OBR,MONTH(A30)=MJ_OBR),'Kalkulacija plaće'!$G$2,0)</f>
        <v>0</v>
      </c>
      <c r="C30" s="44">
        <f>IF(AND(YEAR(A30)=Obracunski_sati!$B$2,MONTH(A30)=Obracunski_sati!$C$2),'Kalkulacija plaće'!$G$16,0)</f>
        <v>0</v>
      </c>
      <c r="D30" s="28" cm="1">
        <f t="array" ref="D30">IF(AND(YEAR(A30)=GOD_OBR,MONTH(A30)=MJ_OBR),SUM_RAD_SATI-SUM_RAD_PB,0)</f>
        <v>0</v>
      </c>
      <c r="E30" s="30"/>
      <c r="F30" s="39" cm="1">
        <f t="array" ref="F30">IF(IFERROR(MONTH(A30)=MONTH(Helper!$H$42),FALSE),SUM(Helper!$G$42:$G$72)-IF(AND(YEAR(A30)=GOD_OBR,MONTH(A30)=MJ_OBR),SUM_BOL_PB+SUM_HZZO_OSTALO_PB,0),_xlfn.XLOOKUP(A30,MJESECI,PB)-IF(AND(YEAR(A30)=GOD_OBR,MONTH(A30)=MJ_OBR),SUM_BOL_PB+SUM_HZZO_OSTALO_PB,0))</f>
        <v>16</v>
      </c>
      <c r="G30" s="28" cm="1">
        <f t="array" ref="G30">IF(AND(YEAR(A30)=GOD_OBR,MONTH(A30)=MJ_OBR),SUM_GO_SATI-SUM_GO_PB,0)</f>
        <v>0</v>
      </c>
      <c r="H30" s="28" cm="1">
        <f t="array" ref="H30">IF(AND(YEAR(A30)=GOD_OBR,MONTH(A30)=MJ_OBR),SUM_BOL_SATI-SUM_BOL_PB,0)</f>
        <v>0</v>
      </c>
      <c r="I30" s="28">
        <f t="shared" si="0"/>
        <v>16</v>
      </c>
      <c r="J30" s="30" cm="1">
        <f t="array" ref="J30">IF(AND(YEAR(A30)=GOD_OBR,MONTH(A30)=MJ_OBR),SUM_HZZO_SATI,0)</f>
        <v>0</v>
      </c>
      <c r="K30" s="29">
        <f>_xlfn.XLOOKUP(A30,Helper!$A$2:$A$25,Helper!$B$2:$B$25)</f>
        <v>176</v>
      </c>
      <c r="P30" s="64"/>
    </row>
    <row r="31" spans="1:16" x14ac:dyDescent="0.25">
      <c r="A31" s="25">
        <v>46204</v>
      </c>
      <c r="B31" s="44">
        <f>IF(AND(YEAR(A31)=GOD_OBR,MONTH(A31)=MJ_OBR),'Kalkulacija plaće'!$G$2,0)</f>
        <v>0</v>
      </c>
      <c r="C31" s="44">
        <f>IF(AND(YEAR(A31)=Obracunski_sati!$B$2,MONTH(A31)=Obracunski_sati!$C$2),'Kalkulacija plaće'!$G$16,0)</f>
        <v>0</v>
      </c>
      <c r="D31" s="28" cm="1">
        <f t="array" ref="D31">IF(AND(YEAR(A31)=GOD_OBR,MONTH(A31)=MJ_OBR),SUM_RAD_SATI-SUM_RAD_PB,0)</f>
        <v>0</v>
      </c>
      <c r="E31" s="30"/>
      <c r="F31" s="39" cm="1">
        <f t="array" ref="F31">IF(IFERROR(MONTH(A31)=MONTH(Helper!$H$42),FALSE),SUM(Helper!$G$42:$G$72)-IF(AND(YEAR(A31)=GOD_OBR,MONTH(A31)=MJ_OBR),SUM_BOL_PB+SUM_HZZO_OSTALO_PB,0),_xlfn.XLOOKUP(A31,MJESECI,PB)-IF(AND(YEAR(A31)=GOD_OBR,MONTH(A31)=MJ_OBR),SUM_BOL_PB+SUM_HZZO_OSTALO_PB,0))</f>
        <v>0</v>
      </c>
      <c r="G31" s="28" cm="1">
        <f t="array" ref="G31">IF(AND(YEAR(A31)=GOD_OBR,MONTH(A31)=MJ_OBR),SUM_GO_SATI-SUM_GO_PB,0)</f>
        <v>0</v>
      </c>
      <c r="H31" s="28" cm="1">
        <f t="array" ref="H31">IF(AND(YEAR(A31)=GOD_OBR,MONTH(A31)=MJ_OBR),SUM_BOL_SATI-SUM_BOL_PB,0)</f>
        <v>0</v>
      </c>
      <c r="I31" s="28">
        <f t="shared" si="0"/>
        <v>0</v>
      </c>
      <c r="J31" s="30" cm="1">
        <f t="array" ref="J31">IF(AND(YEAR(A31)=GOD_OBR,MONTH(A31)=MJ_OBR),SUM_HZZO_SATI,0)</f>
        <v>0</v>
      </c>
      <c r="K31" s="29">
        <f>_xlfn.XLOOKUP(A31,Helper!$A$2:$A$25,Helper!$B$2:$B$25)</f>
        <v>184</v>
      </c>
      <c r="P31" s="64"/>
    </row>
    <row r="32" spans="1:16" x14ac:dyDescent="0.25">
      <c r="A32" s="25">
        <v>46235</v>
      </c>
      <c r="B32" s="44">
        <f>IF(AND(YEAR(A32)=GOD_OBR,MONTH(A32)=MJ_OBR),'Kalkulacija plaće'!$G$2,0)</f>
        <v>0</v>
      </c>
      <c r="C32" s="44">
        <f>IF(AND(YEAR(A32)=Obracunski_sati!$B$2,MONTH(A32)=Obracunski_sati!$C$2),'Kalkulacija plaće'!$G$16,0)</f>
        <v>0</v>
      </c>
      <c r="D32" s="28" cm="1">
        <f t="array" ref="D32">IF(AND(YEAR(A32)=GOD_OBR,MONTH(A32)=MJ_OBR),SUM_RAD_SATI-SUM_RAD_PB,0)</f>
        <v>0</v>
      </c>
      <c r="E32" s="30"/>
      <c r="F32" s="39" cm="1">
        <f t="array" ref="F32">IF(IFERROR(MONTH(A32)=MONTH(Helper!$H$42),FALSE),SUM(Helper!$G$42:$G$72)-IF(AND(YEAR(A32)=GOD_OBR,MONTH(A32)=MJ_OBR),SUM_BOL_PB+SUM_HZZO_OSTALO_PB,0),_xlfn.XLOOKUP(A32,MJESECI,PB)-IF(AND(YEAR(A32)=GOD_OBR,MONTH(A32)=MJ_OBR),SUM_BOL_PB+SUM_HZZO_OSTALO_PB,0))</f>
        <v>8</v>
      </c>
      <c r="G32" s="28" cm="1">
        <f t="array" ref="G32">IF(AND(YEAR(A32)=GOD_OBR,MONTH(A32)=MJ_OBR),SUM_GO_SATI-SUM_GO_PB,0)</f>
        <v>0</v>
      </c>
      <c r="H32" s="28" cm="1">
        <f t="array" ref="H32">IF(AND(YEAR(A32)=GOD_OBR,MONTH(A32)=MJ_OBR),SUM_BOL_SATI-SUM_BOL_PB,0)</f>
        <v>0</v>
      </c>
      <c r="I32" s="28">
        <f t="shared" si="0"/>
        <v>8</v>
      </c>
      <c r="J32" s="30" cm="1">
        <f t="array" ref="J32">IF(AND(YEAR(A32)=GOD_OBR,MONTH(A32)=MJ_OBR),SUM_HZZO_SATI,0)</f>
        <v>0</v>
      </c>
      <c r="K32" s="29">
        <f>_xlfn.XLOOKUP(A32,Helper!$A$2:$A$25,Helper!$B$2:$B$25)</f>
        <v>168</v>
      </c>
      <c r="P32" s="64"/>
    </row>
    <row r="33" spans="1:16" x14ac:dyDescent="0.25">
      <c r="A33" s="25">
        <v>46266</v>
      </c>
      <c r="B33" s="44">
        <f>IF(AND(YEAR(A33)=GOD_OBR,MONTH(A33)=MJ_OBR),'Kalkulacija plaće'!$G$2,0)</f>
        <v>0</v>
      </c>
      <c r="C33" s="44">
        <f>IF(AND(YEAR(A33)=Obracunski_sati!$B$2,MONTH(A33)=Obracunski_sati!$C$2),'Kalkulacija plaće'!$G$16,0)</f>
        <v>0</v>
      </c>
      <c r="D33" s="28" cm="1">
        <f t="array" ref="D33">IF(AND(YEAR(A33)=GOD_OBR,MONTH(A33)=MJ_OBR),SUM_RAD_SATI-SUM_RAD_PB,0)</f>
        <v>0</v>
      </c>
      <c r="E33" s="30"/>
      <c r="F33" s="39" cm="1">
        <f t="array" ref="F33">IF(IFERROR(MONTH(A33)=MONTH(Helper!$H$42),FALSE),SUM(Helper!$G$42:$G$72)-IF(AND(YEAR(A33)=GOD_OBR,MONTH(A33)=MJ_OBR),SUM_BOL_PB+SUM_HZZO_OSTALO_PB,0),_xlfn.XLOOKUP(A33,MJESECI,PB)-IF(AND(YEAR(A33)=GOD_OBR,MONTH(A33)=MJ_OBR),SUM_BOL_PB+SUM_HZZO_OSTALO_PB,0))</f>
        <v>0</v>
      </c>
      <c r="G33" s="28" cm="1">
        <f t="array" ref="G33">IF(AND(YEAR(A33)=GOD_OBR,MONTH(A33)=MJ_OBR),SUM_GO_SATI-SUM_GO_PB,0)</f>
        <v>0</v>
      </c>
      <c r="H33" s="28" cm="1">
        <f t="array" ref="H33">IF(AND(YEAR(A33)=GOD_OBR,MONTH(A33)=MJ_OBR),SUM_BOL_SATI-SUM_BOL_PB,0)</f>
        <v>0</v>
      </c>
      <c r="I33" s="28">
        <f t="shared" si="0"/>
        <v>0</v>
      </c>
      <c r="J33" s="30" cm="1">
        <f t="array" ref="J33">IF(AND(YEAR(A33)=GOD_OBR,MONTH(A33)=MJ_OBR),SUM_HZZO_SATI,0)</f>
        <v>0</v>
      </c>
      <c r="K33" s="29">
        <f>_xlfn.XLOOKUP(A33,Helper!$A$2:$A$25,Helper!$B$2:$B$25)</f>
        <v>176</v>
      </c>
      <c r="P33" s="64"/>
    </row>
    <row r="34" spans="1:16" x14ac:dyDescent="0.25">
      <c r="A34" s="25">
        <v>46296</v>
      </c>
      <c r="B34" s="44">
        <f>IF(AND(YEAR(A34)=GOD_OBR,MONTH(A34)=MJ_OBR),'Kalkulacija plaće'!$G$2,0)</f>
        <v>0</v>
      </c>
      <c r="C34" s="44">
        <f>IF(AND(YEAR(A34)=Obracunski_sati!$B$2,MONTH(A34)=Obracunski_sati!$C$2),'Kalkulacija plaće'!$G$16,0)</f>
        <v>0</v>
      </c>
      <c r="D34" s="28" cm="1">
        <f t="array" ref="D34">IF(AND(YEAR(A34)=GOD_OBR,MONTH(A34)=MJ_OBR),SUM_RAD_SATI-SUM_RAD_PB,0)</f>
        <v>0</v>
      </c>
      <c r="E34" s="30"/>
      <c r="F34" s="39" cm="1">
        <f t="array" ref="F34">IF(IFERROR(MONTH(A34)=MONTH(Helper!$H$42),FALSE),SUM(Helper!$G$42:$G$72)-IF(AND(YEAR(A34)=GOD_OBR,MONTH(A34)=MJ_OBR),SUM_BOL_PB+SUM_HZZO_OSTALO_PB,0),_xlfn.XLOOKUP(A34,MJESECI,PB)-IF(AND(YEAR(A34)=GOD_OBR,MONTH(A34)=MJ_OBR),SUM_BOL_PB+SUM_HZZO_OSTALO_PB,0))</f>
        <v>0</v>
      </c>
      <c r="G34" s="28" cm="1">
        <f t="array" ref="G34">IF(AND(YEAR(A34)=GOD_OBR,MONTH(A34)=MJ_OBR),SUM_GO_SATI-SUM_GO_PB,0)</f>
        <v>0</v>
      </c>
      <c r="H34" s="28" cm="1">
        <f t="array" ref="H34">IF(AND(YEAR(A34)=GOD_OBR,MONTH(A34)=MJ_OBR),SUM_BOL_SATI-SUM_BOL_PB,0)</f>
        <v>0</v>
      </c>
      <c r="I34" s="28">
        <f t="shared" si="0"/>
        <v>0</v>
      </c>
      <c r="J34" s="30" cm="1">
        <f t="array" ref="J34">IF(AND(YEAR(A34)=GOD_OBR,MONTH(A34)=MJ_OBR),SUM_HZZO_SATI,0)</f>
        <v>0</v>
      </c>
      <c r="K34" s="29">
        <f>_xlfn.XLOOKUP(A34,Helper!$A$2:$A$25,Helper!$B$2:$B$25)</f>
        <v>176</v>
      </c>
      <c r="P34" s="64"/>
    </row>
    <row r="35" spans="1:16" x14ac:dyDescent="0.25">
      <c r="A35" s="25">
        <v>46327</v>
      </c>
      <c r="B35" s="44">
        <f>IF(AND(YEAR(A35)=GOD_OBR,MONTH(A35)=MJ_OBR),'Kalkulacija plaće'!$G$2,0)</f>
        <v>0</v>
      </c>
      <c r="C35" s="44">
        <f>IF(AND(YEAR(A35)=Obracunski_sati!$B$2,MONTH(A35)=Obracunski_sati!$C$2),'Kalkulacija plaće'!$G$16,0)</f>
        <v>0</v>
      </c>
      <c r="D35" s="28" cm="1">
        <f t="array" ref="D35">IF(AND(YEAR(A35)=GOD_OBR,MONTH(A35)=MJ_OBR),SUM_RAD_SATI-SUM_RAD_PB,0)</f>
        <v>0</v>
      </c>
      <c r="E35" s="30"/>
      <c r="F35" s="39" cm="1">
        <f t="array" ref="F35">IF(IFERROR(MONTH(A35)=MONTH(Helper!$H$42),FALSE),SUM(Helper!$G$42:$G$72)-IF(AND(YEAR(A35)=GOD_OBR,MONTH(A35)=MJ_OBR),SUM_BOL_PB+SUM_HZZO_OSTALO_PB,0),_xlfn.XLOOKUP(A35,MJESECI,PB)-IF(AND(YEAR(A35)=GOD_OBR,MONTH(A35)=MJ_OBR),SUM_BOL_PB+SUM_HZZO_OSTALO_PB,0))</f>
        <v>8</v>
      </c>
      <c r="G35" s="28" cm="1">
        <f t="array" ref="G35">IF(AND(YEAR(A35)=GOD_OBR,MONTH(A35)=MJ_OBR),SUM_GO_SATI-SUM_GO_PB,0)</f>
        <v>0</v>
      </c>
      <c r="H35" s="28" cm="1">
        <f t="array" ref="H35">IF(AND(YEAR(A35)=GOD_OBR,MONTH(A35)=MJ_OBR),SUM_BOL_SATI-SUM_BOL_PB,0)</f>
        <v>0</v>
      </c>
      <c r="I35" s="28">
        <f t="shared" si="0"/>
        <v>8</v>
      </c>
      <c r="J35" s="30" cm="1">
        <f t="array" ref="J35">IF(AND(YEAR(A35)=GOD_OBR,MONTH(A35)=MJ_OBR),SUM_HZZO_SATI,0)</f>
        <v>0</v>
      </c>
      <c r="K35" s="29">
        <f>_xlfn.XLOOKUP(A35,Helper!$A$2:$A$25,Helper!$B$2:$B$25)</f>
        <v>168</v>
      </c>
      <c r="P35" s="64"/>
    </row>
    <row r="36" spans="1:16" x14ac:dyDescent="0.25">
      <c r="A36" s="27">
        <v>46357</v>
      </c>
      <c r="B36" s="44">
        <f>IF(AND(YEAR(A36)=GOD_OBR,MONTH(A36)=MJ_OBR),'Kalkulacija plaće'!$G$2,0)</f>
        <v>0</v>
      </c>
      <c r="C36" s="44">
        <f>IF(AND(YEAR(A36)=Obracunski_sati!$B$2,MONTH(A36)=Obracunski_sati!$C$2),'Kalkulacija plaće'!$G$16,0)</f>
        <v>0</v>
      </c>
      <c r="D36" s="28" cm="1">
        <f t="array" ref="D36">IF(AND(YEAR(A36)=GOD_OBR,MONTH(A36)=MJ_OBR),SUM_RAD_SATI-SUM_RAD_PB,0)</f>
        <v>0</v>
      </c>
      <c r="E36" s="51"/>
      <c r="F36" s="39" cm="1">
        <f t="array" ref="F36">IF(IFERROR(MONTH(A36)=MONTH(Helper!$H$42),FALSE),SUM(Helper!$G$42:$G$72)-IF(AND(YEAR(A36)=GOD_OBR,MONTH(A36)=MJ_OBR),SUM_BOL_PB+SUM_HZZO_OSTALO_PB,0),_xlfn.XLOOKUP(A36,MJESECI,PB)-IF(AND(YEAR(A36)=GOD_OBR,MONTH(A36)=MJ_OBR),SUM_BOL_PB+SUM_HZZO_OSTALO_PB,0))</f>
        <v>8</v>
      </c>
      <c r="G36" s="28" cm="1">
        <f t="array" ref="G36">IF(AND(YEAR(A36)=GOD_OBR,MONTH(A36)=MJ_OBR),SUM_GO_SATI-SUM_GO_PB,0)</f>
        <v>0</v>
      </c>
      <c r="H36" s="28" cm="1">
        <f t="array" ref="H36">IF(AND(YEAR(A36)=GOD_OBR,MONTH(A36)=MJ_OBR),SUM_BOL_SATI-SUM_BOL_PB,0)</f>
        <v>0</v>
      </c>
      <c r="I36" s="28">
        <f t="shared" si="0"/>
        <v>8</v>
      </c>
      <c r="J36" s="30" cm="1">
        <f t="array" ref="J36">IF(AND(YEAR(A36)=GOD_OBR,MONTH(A36)=MJ_OBR),SUM_HZZO_SATI,0)</f>
        <v>0</v>
      </c>
      <c r="K36" s="29">
        <f>_xlfn.XLOOKUP(A36,Helper!$A$2:$A$25,Helper!$B$2:$B$25)</f>
        <v>184</v>
      </c>
      <c r="P36" s="64"/>
    </row>
  </sheetData>
  <mergeCells count="17">
    <mergeCell ref="A4:B4"/>
    <mergeCell ref="A6:B6"/>
    <mergeCell ref="A7:B7"/>
    <mergeCell ref="A1:B1"/>
    <mergeCell ref="E4:H4"/>
    <mergeCell ref="F6:G6"/>
    <mergeCell ref="F7:G7"/>
    <mergeCell ref="A8:B8"/>
    <mergeCell ref="A10:A12"/>
    <mergeCell ref="B10:B12"/>
    <mergeCell ref="C10:C12"/>
    <mergeCell ref="D11:E11"/>
    <mergeCell ref="J11:J12"/>
    <mergeCell ref="K11:K12"/>
    <mergeCell ref="D10:K10"/>
    <mergeCell ref="F11:H11"/>
    <mergeCell ref="I11:I12"/>
  </mergeCells>
  <conditionalFormatting sqref="K13:K14">
    <cfRule type="expression" dxfId="4" priority="1">
      <formula>$I$13+$J$13&lt;&gt;$K$13</formula>
    </cfRule>
  </conditionalFormatting>
  <dataValidations count="3">
    <dataValidation type="list" allowBlank="1" showInputMessage="1" showErrorMessage="1" sqref="C2" xr:uid="{D00A32EC-F225-4DDC-B6FB-4C45D65EEEF5}">
      <formula1>"1,2,3,4,5,6"</formula1>
    </dataValidation>
    <dataValidation type="list" allowBlank="1" showInputMessage="1" showErrorMessage="1" sqref="V17 C1:C2" xr:uid="{8E28F3A2-45F4-4AD9-A8B5-9715AFF73F99}">
      <formula1>"100%,80%,70%"</formula1>
    </dataValidation>
    <dataValidation type="list" allowBlank="1" showInputMessage="1" showErrorMessage="1" sqref="J7:J8" xr:uid="{457149A3-7E21-4777-8B14-D06DE1DB6D33}">
      <formula1>"Da,Ne,N/A"</formula1>
    </dataValidation>
  </dataValidations>
  <pageMargins left="0.7" right="0.7" top="0.75" bottom="0.75" header="0.3" footer="0.3"/>
  <cellWatches>
    <cellWatch r="E4"/>
    <cellWatch r="F4"/>
    <cellWatch r="H4"/>
    <cellWatch r="E6"/>
    <cellWatch r="F6"/>
    <cellWatch r="H6"/>
    <cellWatch r="E7"/>
    <cellWatch r="F7"/>
    <cellWatch r="H7"/>
    <cellWatch r="E8"/>
    <cellWatch r="F8"/>
    <cellWatch r="H8"/>
  </cellWatches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D46167EC-A962-4E0E-808D-4770DA6EF1FF}">
            <xm:f>ROW()=MATCH(DATE(Obracunski_sati!$B$2,Obracunski_sati!$C$2,1),$A:$A,0)</xm:f>
            <x14:dxf>
              <font>
                <b/>
                <i val="0"/>
              </font>
            </x14:dxf>
          </x14:cfRule>
          <xm:sqref>A13:K36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59051-D20C-4A3F-BD48-94BBB9052723}">
  <sheetPr codeName="Sheet5"/>
  <dimension ref="A1:S18"/>
  <sheetViews>
    <sheetView workbookViewId="0">
      <selection activeCell="F2" sqref="F2"/>
    </sheetView>
  </sheetViews>
  <sheetFormatPr defaultRowHeight="15" x14ac:dyDescent="0.25"/>
  <cols>
    <col min="1" max="1" width="7.85546875" style="4" bestFit="1" customWidth="1"/>
    <col min="2" max="2" width="24.140625" style="4" bestFit="1" customWidth="1"/>
    <col min="3" max="3" width="21.7109375" style="4" bestFit="1" customWidth="1"/>
    <col min="4" max="4" width="7.140625" style="4" customWidth="1"/>
    <col min="5" max="5" width="9.140625" style="4" bestFit="1" customWidth="1"/>
    <col min="6" max="6" width="13.42578125" style="4" bestFit="1" customWidth="1"/>
    <col min="7" max="7" width="19.28515625" style="4" bestFit="1" customWidth="1"/>
    <col min="8" max="8" width="14" style="4" bestFit="1" customWidth="1"/>
    <col min="9" max="9" width="9.140625" style="4"/>
    <col min="10" max="17" width="9.140625" style="4" customWidth="1"/>
    <col min="18" max="18" width="8.42578125" style="4" bestFit="1" customWidth="1"/>
    <col min="19" max="19" width="9.140625" style="4"/>
    <col min="20" max="20" width="9.140625" style="4" customWidth="1"/>
    <col min="21" max="16384" width="9.140625" style="4"/>
  </cols>
  <sheetData>
    <row r="1" spans="1:19" x14ac:dyDescent="0.25">
      <c r="A1" s="2" t="s">
        <v>0</v>
      </c>
      <c r="B1" s="2" t="s">
        <v>1</v>
      </c>
      <c r="C1" s="2"/>
      <c r="D1" s="2"/>
      <c r="E1" s="3"/>
      <c r="F1" s="2" t="s">
        <v>595</v>
      </c>
      <c r="G1" s="2" t="s">
        <v>620</v>
      </c>
      <c r="H1" s="2" t="s">
        <v>621</v>
      </c>
      <c r="J1" s="66"/>
      <c r="K1" s="66"/>
      <c r="L1" s="67"/>
      <c r="M1" s="66"/>
      <c r="N1" s="68"/>
      <c r="O1" s="67"/>
      <c r="R1" s="19"/>
      <c r="S1" s="19"/>
    </row>
    <row r="2" spans="1:19" x14ac:dyDescent="0.25">
      <c r="A2" s="69" t="s">
        <v>3</v>
      </c>
      <c r="B2" s="4" t="s">
        <v>4</v>
      </c>
      <c r="F2" s="46">
        <v>1500</v>
      </c>
      <c r="G2" s="5" cm="1">
        <f t="array" ref="G2">BRUTO/TEK_FOND_SATI*SUM_RAD_PB_GO_SATI+NAKNADA_POSLODAVAC_BOL</f>
        <v>1500</v>
      </c>
      <c r="J2" s="66"/>
      <c r="K2" s="66"/>
      <c r="L2" s="67"/>
      <c r="M2" s="67"/>
      <c r="O2" s="66"/>
      <c r="P2" s="70"/>
      <c r="R2" s="19"/>
    </row>
    <row r="3" spans="1:19" x14ac:dyDescent="0.25">
      <c r="A3" s="69"/>
      <c r="B3" s="4" t="s">
        <v>593</v>
      </c>
      <c r="C3" s="10" t="s">
        <v>642</v>
      </c>
      <c r="F3" s="5" cm="1">
        <f t="array" ref="F3">IF(C3="Ograničenje",_xlfn.IFS(BRUTO&lt;=683.24,683.24,BRUTO&gt;10788,10788,AND(BRUTO&gt;683.24,BRUTO&lt;=10788),BRUTO),BRUTO)</f>
        <v>1500</v>
      </c>
      <c r="G3" s="5" cm="1">
        <f t="array" ref="G3">IF(C3="Ograničenje",_xlfn.IFS(G2&lt;=NAJNIZA_MJ_OSN,NAJNIZA_MJ_OSN,G2&gt;10788,10788,AND(G2&gt;NAJNIZA_MJ_OSN,G2&lt;=10788),G2),G2)</f>
        <v>1500</v>
      </c>
      <c r="L3" s="66"/>
      <c r="O3" s="66"/>
      <c r="Q3" s="70"/>
      <c r="R3" s="19"/>
    </row>
    <row r="4" spans="1:19" x14ac:dyDescent="0.25">
      <c r="A4" s="69"/>
      <c r="B4" s="4" t="s">
        <v>6</v>
      </c>
      <c r="C4" s="10" t="s">
        <v>594</v>
      </c>
      <c r="F4" s="5">
        <f>IF(C4="Umanjenje",IF(BRUTO&lt;300,BRUTO,IF(AND(BRUTO&gt;=300,BRUTO&lt;700),300,IF((1300-BRUTO)*0.5&lt;=0,0,(1300-BRUTO)*0.5))),0)</f>
        <v>0</v>
      </c>
      <c r="G4" s="5">
        <f>IF(C4="Umanjenje",IF(G2&lt;300,G2,IF(AND(G2&gt;=300,G2&lt;700),300,IF((1300-G2)*0.5&lt;=0,0,(1300-G2)*0.5))),0)</f>
        <v>0</v>
      </c>
      <c r="N4" s="71"/>
      <c r="O4" s="66"/>
      <c r="Q4" s="70"/>
      <c r="R4" s="19"/>
    </row>
    <row r="5" spans="1:19" x14ac:dyDescent="0.25">
      <c r="A5" s="110" t="s">
        <v>8</v>
      </c>
      <c r="B5" s="4" t="s">
        <v>9</v>
      </c>
      <c r="E5" s="72"/>
      <c r="F5" s="5">
        <f>MIO_I+MIO_II</f>
        <v>300</v>
      </c>
      <c r="G5" s="5">
        <f>G6+G7</f>
        <v>300</v>
      </c>
      <c r="O5" s="66"/>
      <c r="R5" s="19"/>
    </row>
    <row r="6" spans="1:19" x14ac:dyDescent="0.25">
      <c r="A6" s="110"/>
      <c r="B6" s="4" t="s">
        <v>10</v>
      </c>
      <c r="E6" s="8">
        <v>0.15</v>
      </c>
      <c r="F6" s="5">
        <f>(OSN_DOPR-UMANJ_DOPR)*E6</f>
        <v>225</v>
      </c>
      <c r="G6" s="5">
        <f>(G3-G4)*E6</f>
        <v>225</v>
      </c>
      <c r="O6" s="66"/>
    </row>
    <row r="7" spans="1:19" x14ac:dyDescent="0.25">
      <c r="A7" s="110"/>
      <c r="B7" s="4" t="s">
        <v>11</v>
      </c>
      <c r="E7" s="8">
        <v>0.05</v>
      </c>
      <c r="F7" s="5">
        <f>OSN_DOPR*E7</f>
        <v>75</v>
      </c>
      <c r="G7" s="5">
        <f>G3*E7</f>
        <v>75</v>
      </c>
      <c r="O7" s="66"/>
    </row>
    <row r="8" spans="1:19" x14ac:dyDescent="0.25">
      <c r="A8" s="110" t="s">
        <v>12</v>
      </c>
      <c r="B8" s="4" t="s">
        <v>13</v>
      </c>
      <c r="F8" s="5">
        <f>BRUTO-DOPR_IZ_PLAĆE</f>
        <v>1200</v>
      </c>
      <c r="G8" s="5">
        <f>IF(G2-G5&lt;0,0,G2-G5)</f>
        <v>1200</v>
      </c>
      <c r="O8" s="66"/>
    </row>
    <row r="9" spans="1:19" x14ac:dyDescent="0.25">
      <c r="A9" s="110"/>
      <c r="B9" s="4" t="s">
        <v>14</v>
      </c>
      <c r="C9" s="7" t="s">
        <v>2</v>
      </c>
      <c r="D9" s="7">
        <v>0</v>
      </c>
      <c r="E9" s="7">
        <v>0</v>
      </c>
      <c r="F9" s="5">
        <f>IF(SUMIF(Helper!M1:M16,"&lt;="&amp;E9,Helper!N1:N16)*600+SUMIF(Helper!P1:P5,"&lt;="&amp;D9,Helper!Q1:Q5)*600+_xlfn.XLOOKUP(C9,Helper!S1:S3,Helper!T1:T3,"Not found",0)*600&gt;=F8,F8,SUMIF(Helper!M1:M16,"&lt;="&amp;E9,Helper!N1:N16)*600+SUMIF(Helper!P1:P5,"&lt;="&amp;D9,Helper!Q1:Q5)*600+_xlfn.XLOOKUP(C9,Helper!S1:S3,Helper!T1:T3,"Not found",0)*600)</f>
        <v>600</v>
      </c>
      <c r="G9" s="5">
        <f>IF(SUMIF(Helper!M1:M16,"&lt;="&amp;E9,Helper!N1:N16)*600+SUMIF(Helper!P1:P5,"&lt;="&amp;D9,Helper!Q1:Q5)*600+_xlfn.XLOOKUP(C9,Helper!S1:S3,Helper!T1:T3,"Not found",0)*600&gt;=G8,G8,SUMIF(Helper!M1:M16,"&lt;="&amp;E9,Helper!N1:N16)*600+SUMIF(Helper!P1:P5,"&lt;="&amp;D9,Helper!Q1:Q5)*600+_xlfn.XLOOKUP(C9,Helper!S1:S3,Helper!T1:T3,"Not found",0)*600)</f>
        <v>600</v>
      </c>
      <c r="N9" s="73"/>
      <c r="O9" s="66"/>
    </row>
    <row r="10" spans="1:19" x14ac:dyDescent="0.25">
      <c r="A10" s="110"/>
      <c r="B10" s="4" t="s">
        <v>15</v>
      </c>
      <c r="F10" s="5">
        <f>DOH-OSN_ODB</f>
        <v>600</v>
      </c>
      <c r="G10" s="5">
        <f>G8-G9</f>
        <v>600</v>
      </c>
      <c r="O10" s="66"/>
    </row>
    <row r="11" spans="1:19" x14ac:dyDescent="0.25">
      <c r="A11" s="110"/>
      <c r="B11" s="4" t="s">
        <v>16</v>
      </c>
      <c r="F11" s="5">
        <f>IF(POR_OSN&gt;=5000,5000,POR_OSN)</f>
        <v>600</v>
      </c>
      <c r="G11" s="5">
        <f>IF(G10&gt;=5000,5000,G10)</f>
        <v>600</v>
      </c>
      <c r="O11" s="66"/>
    </row>
    <row r="12" spans="1:19" x14ac:dyDescent="0.25">
      <c r="A12" s="110"/>
      <c r="B12" s="4" t="s">
        <v>17</v>
      </c>
      <c r="F12" s="5">
        <f>IF(POR_OSN&gt;5000,POR_OSN-5000,0)</f>
        <v>0</v>
      </c>
      <c r="G12" s="5">
        <f>IF(G10&gt;5000,G10-5000,0)</f>
        <v>0</v>
      </c>
      <c r="O12" s="66"/>
      <c r="R12" s="19"/>
    </row>
    <row r="13" spans="1:19" x14ac:dyDescent="0.25">
      <c r="A13" s="110" t="s">
        <v>18</v>
      </c>
      <c r="B13" s="4" t="s">
        <v>19</v>
      </c>
      <c r="C13" s="7" t="s">
        <v>576</v>
      </c>
      <c r="F13" s="5">
        <f>POR_NS+POR_VS</f>
        <v>138</v>
      </c>
      <c r="G13" s="5">
        <f>G14+G15</f>
        <v>138</v>
      </c>
      <c r="J13" s="4">
        <v>0</v>
      </c>
      <c r="O13" s="66"/>
      <c r="R13" s="19"/>
    </row>
    <row r="14" spans="1:19" x14ac:dyDescent="0.25">
      <c r="A14" s="110"/>
      <c r="B14" s="4" t="s">
        <v>20</v>
      </c>
      <c r="E14" s="8">
        <f>_xlfn.XLOOKUP($C$13,'Porezne stope'!$A$2:$A$557,'Porezne stope'!$B$2:$B$557)</f>
        <v>0.23</v>
      </c>
      <c r="F14" s="5">
        <f>OSN_NS*E14</f>
        <v>138</v>
      </c>
      <c r="G14" s="5">
        <f>G11*E14</f>
        <v>138</v>
      </c>
      <c r="O14" s="66"/>
    </row>
    <row r="15" spans="1:19" x14ac:dyDescent="0.25">
      <c r="A15" s="110"/>
      <c r="B15" s="4" t="s">
        <v>21</v>
      </c>
      <c r="E15" s="8">
        <f>_xlfn.XLOOKUP($C$13,'Porezne stope'!$A$2:$A$557,'Porezne stope'!$C$2:$C$557)</f>
        <v>0.33</v>
      </c>
      <c r="F15" s="5">
        <f>OSN_VS*E15</f>
        <v>0</v>
      </c>
      <c r="G15" s="5">
        <f>G12*E15</f>
        <v>0</v>
      </c>
      <c r="O15" s="66"/>
    </row>
    <row r="16" spans="1:19" x14ac:dyDescent="0.25">
      <c r="A16" s="69" t="s">
        <v>22</v>
      </c>
      <c r="B16" s="4" t="s">
        <v>23</v>
      </c>
      <c r="F16" s="5">
        <f>DOH-POR_DOH</f>
        <v>1062</v>
      </c>
      <c r="G16" s="5">
        <f>G8-G13</f>
        <v>1062</v>
      </c>
      <c r="H16" s="19" cm="1">
        <f t="array" ref="H16">NAKNADA_HZZO_BOL+NAKNADA_HZZO_NJEGA+NAKNADA_HZZO_NJEGA_7+NAKNADA_HZZO_OZLJEDA</f>
        <v>0</v>
      </c>
      <c r="O16" s="66"/>
    </row>
    <row r="17" spans="1:7" x14ac:dyDescent="0.25">
      <c r="A17" s="69" t="s">
        <v>596</v>
      </c>
      <c r="B17" s="4" t="s">
        <v>24</v>
      </c>
      <c r="E17" s="9">
        <v>0.16500000000000001</v>
      </c>
      <c r="F17" s="5">
        <f>IF(OSN_DOPR=10788,BRUTO*E17,OSN_DOPR*E17)</f>
        <v>247.5</v>
      </c>
      <c r="G17" s="5">
        <f>IF(G3=10788,G2*E17,G3*E17)</f>
        <v>247.5</v>
      </c>
    </row>
    <row r="18" spans="1:7" x14ac:dyDescent="0.25">
      <c r="A18" s="69" t="s">
        <v>25</v>
      </c>
      <c r="B18" s="4" t="s">
        <v>26</v>
      </c>
      <c r="F18" s="5">
        <f>DOPR_IZ_PLAĆE+POR_DOH+NETO+DOPR_NA_PLAĆU</f>
        <v>1747.5</v>
      </c>
      <c r="G18" s="5">
        <f>G5+G13+G16+G17</f>
        <v>1747.5</v>
      </c>
    </row>
  </sheetData>
  <mergeCells count="3">
    <mergeCell ref="A5:A7"/>
    <mergeCell ref="A8:A12"/>
    <mergeCell ref="A13:A15"/>
  </mergeCells>
  <conditionalFormatting sqref="F16">
    <cfRule type="cellIs" dxfId="2" priority="4" operator="greaterThan">
      <formula>0</formula>
    </cfRule>
  </conditionalFormatting>
  <conditionalFormatting sqref="F5:G5 F13:G13 G16:G17">
    <cfRule type="cellIs" dxfId="1" priority="1" operator="greaterThan">
      <formula>0</formula>
    </cfRule>
  </conditionalFormatting>
  <conditionalFormatting sqref="F17:G17">
    <cfRule type="cellIs" dxfId="0" priority="3" operator="greaterThan">
      <formula>0</formula>
    </cfRule>
  </conditionalFormatting>
  <dataValidations count="8">
    <dataValidation type="list" allowBlank="1" showInputMessage="1" showErrorMessage="1" prompt="Broj djece_x000a_" sqref="E9" xr:uid="{7CFB0E73-8621-4EE2-947E-1C91CFACA94E}">
      <formula1>"0,1,2,3,4,5,6,7,8,9,10,11,12,13,14,15"</formula1>
    </dataValidation>
    <dataValidation type="list" allowBlank="1" showInputMessage="1" showErrorMessage="1" prompt="Invalidnost" sqref="C9" xr:uid="{37F5948E-F16F-4E41-B6AB-26E30197F05E}">
      <formula1>"Bez invalidnosti, Djelomična invalidnost, Puna invalidnost"</formula1>
    </dataValidation>
    <dataValidation type="list" allowBlank="1" showInputMessage="1" showErrorMessage="1" prompt="Broj uzdržavanih članova" sqref="D9" xr:uid="{FAC91463-8081-4A8F-8F4E-409A6E061B98}">
      <formula1>"0,1,2,3,4,5"</formula1>
    </dataValidation>
    <dataValidation type="whole" allowBlank="1" showInputMessage="1" showErrorMessage="1" sqref="F4" xr:uid="{F34E0457-9462-47C6-8A69-685FF4F2F962}">
      <formula1>0</formula1>
      <formula2>300</formula2>
    </dataValidation>
    <dataValidation type="list" allowBlank="1" showInputMessage="1" showErrorMessage="1" sqref="C4" xr:uid="{F63527C3-F951-475D-8D53-FA7E5201BACE}">
      <formula1>"Umanjenje,Bez umanjenja"</formula1>
    </dataValidation>
    <dataValidation type="list" allowBlank="1" showInputMessage="1" showErrorMessage="1" prompt="Najviša i najniža mjesečna osnovica" sqref="C3" xr:uid="{F6B5D6FC-DCBE-4235-8F27-3538B83084D9}">
      <formula1>"Ograničenje,Bez ograničenja"</formula1>
    </dataValidation>
    <dataValidation type="custom" showInputMessage="1" showErrorMessage="1" sqref="F2" xr:uid="{D2A09054-7DEA-4E79-A1D4-CD97241D141D}">
      <formula1>NOT(AND(ISBLANK(C4),ISBLANK(#REF!),ISBLANK(C9),ISBLANK(D9),ISBLANK(E9),ISBLANK(C13)))</formula1>
    </dataValidation>
    <dataValidation type="custom" showInputMessage="1" showErrorMessage="1" sqref="G2" xr:uid="{795E5796-49E7-4886-840B-CAD0D3966270}">
      <formula1>NOT(AND(ISBLANK(#REF!),ISBLANK(#REF!),ISBLANK(#REF!),ISBLANK(H9),ISBLANK(I9),ISBLANK(#REF!)))</formula1>
    </dataValidation>
  </dataValidations>
  <pageMargins left="0.7" right="0.7" top="0.75" bottom="0.75" header="0.3" footer="0.3"/>
  <pageSetup paperSize="9" orientation="portrait" r:id="rId1"/>
  <cellWatches>
    <cellWatch r="H16"/>
  </cellWatches>
  <ignoredErrors>
    <ignoredError sqref="A5:A16 A4 A2" numberStoredAsText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="Grad / Općina" xr:uid="{AD3F04B9-413A-4816-81CA-5EF85F60F881}">
          <x14:formula1>
            <xm:f>'Porezne stope'!$A$2:$A$557</xm:f>
          </x14:formula1>
          <xm:sqref>C13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23</vt:i4>
      </vt:variant>
    </vt:vector>
  </HeadingPairs>
  <TitlesOfParts>
    <vt:vector size="28" baseType="lpstr">
      <vt:lpstr>Helper</vt:lpstr>
      <vt:lpstr>Porezne stope</vt:lpstr>
      <vt:lpstr>Obracunski_sati</vt:lpstr>
      <vt:lpstr>Obračun bolovanja</vt:lpstr>
      <vt:lpstr>Kalkulacija plaće</vt:lpstr>
      <vt:lpstr>BRUTO</vt:lpstr>
      <vt:lpstr>DOH</vt:lpstr>
      <vt:lpstr>DOPR_IZ_PLAĆE</vt:lpstr>
      <vt:lpstr>DOPR_NA_PLAĆU</vt:lpstr>
      <vt:lpstr>GOD_OBR</vt:lpstr>
      <vt:lpstr>MIO_I</vt:lpstr>
      <vt:lpstr>MIO_II</vt:lpstr>
      <vt:lpstr>MJ_FOND_SATI</vt:lpstr>
      <vt:lpstr>MJ_OBR</vt:lpstr>
      <vt:lpstr>MJESECI</vt:lpstr>
      <vt:lpstr>NETO</vt:lpstr>
      <vt:lpstr>OSN_DOPR</vt:lpstr>
      <vt:lpstr>OSN_NS</vt:lpstr>
      <vt:lpstr>OSN_ODB</vt:lpstr>
      <vt:lpstr>OSN_VS</vt:lpstr>
      <vt:lpstr>PB</vt:lpstr>
      <vt:lpstr>POR_DOH</vt:lpstr>
      <vt:lpstr>POR_NS</vt:lpstr>
      <vt:lpstr>POR_OSN</vt:lpstr>
      <vt:lpstr>POR_VS</vt:lpstr>
      <vt:lpstr>rad_vrste</vt:lpstr>
      <vt:lpstr>TROŠAK</vt:lpstr>
      <vt:lpstr>UMANJ_DOPR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Marko Horvat</dc:creator>
  <cp:lastModifiedBy>Marko Horvat</cp:lastModifiedBy>
  <dcterms:created xsi:type="dcterms:W3CDTF">2025-10-01T16:16:26Z</dcterms:created>
  <dcterms:modified xsi:type="dcterms:W3CDTF">2026-04-23T19:39:42Z</dcterms:modified>
</cp:coreProperties>
</file>